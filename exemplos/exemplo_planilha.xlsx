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Questões" sheetId="2" r:id="rId6"/>
    <sheet state="visible" name="AlunosAcertos" sheetId="3" r:id="rId7"/>
    <sheet state="hidden" name="Cópia de Página1" sheetId="4" r:id="rId8"/>
    <sheet state="hidden" name="Habilidades Inglês" sheetId="5" r:id="rId9"/>
    <sheet state="hidden" name="Habilidades Portugues" sheetId="6" r:id="rId10"/>
    <sheet state="hidden" name="Habilidades Matemática" sheetId="7" r:id="rId11"/>
    <sheet state="hidden" name="Habilidades Ciências" sheetId="8" r:id="rId12"/>
    <sheet state="hidden" name="Habilidades História" sheetId="9" r:id="rId13"/>
    <sheet state="hidden" name="Habilidades Geografia" sheetId="10" r:id="rId14"/>
    <sheet state="hidden" name="Habilidades Artes" sheetId="11" r:id="rId15"/>
    <sheet state="hidden" name="Habilidades Ed.física" sheetId="12" r:id="rId16"/>
    <sheet state="visible" name="Porcentagem" sheetId="13" r:id="rId17"/>
    <sheet state="hidden" name="Pontuação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tc={aadff09a-7992-47aa-b2c8-9140fed2c8b6}</author>
  </authors>
  <commentList>
    <comment authorId="0" xr:uid="{aadff09a-7992-47aa-b2c8-9140fed2c8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a tabela funcionará com 0 não fez , 1 errou, 2 acertou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tc={d77d4fda-92f6-4111-905c-0b769aac06de}</author>
  </authors>
  <commentList>
    <comment authorId="0" xr:uid="{d77d4fda-92f6-4111-905c-0b769aac06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Pontuação 5 se errou e 10 se acertou
</t>
      </text>
    </comment>
  </commentList>
</comments>
</file>

<file path=xl/sharedStrings.xml><?xml version="1.0" encoding="utf-8"?>
<sst xmlns="http://schemas.openxmlformats.org/spreadsheetml/2006/main" count="358" uniqueCount="317">
  <si>
    <t>Aluno</t>
  </si>
  <si>
    <t>Questão 1</t>
  </si>
  <si>
    <t>Turma</t>
  </si>
  <si>
    <t>uma torneira está gotejando água em um balde com capacidade de 18 litros. No instante atual, o balde se encontra com ocupação de 50% de sua capacidade. A cada segundo caem 5 gotas de água da torneira, e uma gota é formada, em média, por 5 × 10−2 mL de água
Quanto tempo, em hora, será necessário para encher completamente o balde, partindo do instante atual?</t>
  </si>
  <si>
    <t>Questão 2</t>
  </si>
  <si>
    <t>Questão 3</t>
  </si>
  <si>
    <t>Questão 4</t>
  </si>
  <si>
    <t>Questão 5</t>
  </si>
  <si>
    <t>Questão 6</t>
  </si>
  <si>
    <t>Questão 7</t>
  </si>
  <si>
    <t>Questão 8</t>
  </si>
  <si>
    <t xml:space="preserve">Leia a Tirinha do Charlie Brown para responder as questões 01 e 02.
1 No segundo quadrinho da tirinha, no trecho: “Eu a amo”, o termo em destaque se refere a qual personagem citado?
</t>
  </si>
  <si>
    <t>AB</t>
  </si>
  <si>
    <t xml:space="preserve">Leia a Tirinha do Charlie Brown para responder as questões 01 e 02.
2  No último quadrinho, quando Linus diz: “Foi só no que consegui pensar pra falar.”, há um pronome oculto antes do verbo destacado. Escreva qual é o pronome oculto e a qual personagem ele se refere.
</t>
  </si>
  <si>
    <t>A</t>
  </si>
  <si>
    <t xml:space="preserve">Leia o texto e responda as questões 03 e 04.
Ser ou não ser... Vivo!
Segundo alguns autores, para que algo seja considerado um ser vivo, deve ser capaz de se alimentar, relacionar-se com o ambiente e se reproduzir – um inseto, por exemplo, faz essas três coisas; uma pedra não faz nenhuma delas. Ninguém tem dúvidas de que o inseto é vivo e a pedra, não. Ora, os vírus estão no meio do caminho: eles não se alimentam, mas podem se reproduzir com a ajuda de células vivas. 
Já outros cientistas consideram que o ser vivo precisa ter material genético e metabolismo celular, ou seja, um conjunto de reações químicas que ocorrem no interior das células para gerar energia. Os vírus não têm células e muito menos metabolismo celular, mas sua estrutura inclui material genético que possibilita sua replicação. E aí, como classificá-los? 
A questão é difícil mesmo. Se alguém lhe perguntar se o vírus é ou não um ser vivo, responda logo: isso depende do que você considera como ser vivo. 
Revista “Ciência Hoje das Crianças”. Edição 245. Disponível em: .
3  Complete a lacuna:
“Na oração ‘E aí, como classificá-los?’, o autor do texto empregou o pronome pessoal oblíquo “los” para retomar a palavra _____________________________________.”
</t>
  </si>
  <si>
    <t xml:space="preserve">Leia o texto e responda as questões 03 e 04.
Ser ou não ser... Vivo!
Segundo alguns autores, para que algo seja considerado um ser vivo, deve ser capaz de se alimentar, relacionar-se com o ambiente e se reproduzir – um inseto, por exemplo, faz essas três coisas; uma pedra não faz nenhuma delas. Ninguém tem dúvidas de que o inseto é vivo e a pedra, não. Ora, os vírus estão no meio do caminho: eles não se alimentam, mas podem se reproduzir com a ajuda de células vivas. 
Já outros cientistas consideram que o ser vivo precisa ter material genético e metabolismo celular, ou seja, um conjunto de reações químicas que ocorrem no interior das células para gerar energia. Os vírus não têm células e muito menos metabolismo celular, mas sua estrutura inclui material genético que possibilita sua replicação. E aí, como classificá-los? 
A questão é difícil mesmo. Se alguém lhe perguntar se o vírus é ou não um ser vivo, responda logo: isso depende do que você considera como ser vivo. 
Revista “Ciência Hoje das Crianças”. Edição 245. Disponível em: .
4  O pronome destacado na oração abaixo faz referência a quem? 
“[...] Se alguém lhe perguntar se o vírus é ou não um ser vivo, responda logo: isso depende do que você considera como ser vivo.”
</t>
  </si>
  <si>
    <t xml:space="preserve">5    Leia o texto:
O professor chamou André e pediu-lhe o trabalho.
Depois de analisá-lo, devolveu-o com algumas observações.
No trecho, os pronomes “lhe”, “lo” e “o” referem-se, respectivamente, a:
A) O professor, o trabalho, o André
B) O professor, André, André
C) André, o trabalho, o trabalho
D) André, o professor, o trabalho
</t>
  </si>
  <si>
    <t>AC</t>
  </si>
  <si>
    <t>B</t>
  </si>
  <si>
    <t>ENG01</t>
  </si>
  <si>
    <t>Compreender vocabulário básico de inglês</t>
  </si>
  <si>
    <t>ENG02</t>
  </si>
  <si>
    <t>Identificar palavras em contexto em inglês</t>
  </si>
  <si>
    <t>ENG03</t>
  </si>
  <si>
    <t>Interpretar textos simples em inglês</t>
  </si>
  <si>
    <t>ENG04</t>
  </si>
  <si>
    <t>Compreender instruções básicas em inglês</t>
  </si>
  <si>
    <t>ENG05</t>
  </si>
  <si>
    <t>Identificar informações em textos curtos em inglês</t>
  </si>
  <si>
    <t>ENG06</t>
  </si>
  <si>
    <t>Relacionar imagem e palavra em inglês</t>
  </si>
  <si>
    <t>ENG07</t>
  </si>
  <si>
    <t>Reconhecer estruturas simples (verbo to be, etc.) em inglês</t>
  </si>
  <si>
    <t>ENG08</t>
  </si>
  <si>
    <t>Formar frases simples em inglês</t>
  </si>
  <si>
    <t>ENG09</t>
  </si>
  <si>
    <t>Produzir frases escritas básicas em inglês</t>
  </si>
  <si>
    <t>ENG10</t>
  </si>
  <si>
    <t>Compreender diálogos simples em inglês</t>
  </si>
  <si>
    <t>ENG11</t>
  </si>
  <si>
    <t>Identificar tempo verbal básico em inglês</t>
  </si>
  <si>
    <t>ENG12</t>
  </si>
  <si>
    <t>Utilizar pronomes básicos em inglês</t>
  </si>
  <si>
    <t>ENG13</t>
  </si>
  <si>
    <t>Compreender perguntas simples em inglês</t>
  </si>
  <si>
    <t>ENG14</t>
  </si>
  <si>
    <t>Responder perguntas simples em inglês</t>
  </si>
  <si>
    <t>ENG15</t>
  </si>
  <si>
    <t>Desenvolver escuta (listening) em inglês</t>
  </si>
  <si>
    <t>ENG16</t>
  </si>
  <si>
    <t>Desenvolver leitura (reading) em inglês</t>
  </si>
  <si>
    <t>ENG17</t>
  </si>
  <si>
    <t>Desenvolver escrita (writing) em inglês</t>
  </si>
  <si>
    <t>ENG18</t>
  </si>
  <si>
    <t>Desenvolver fala básica (speaking) em inglês</t>
  </si>
  <si>
    <t>LP01</t>
  </si>
  <si>
    <t>Interpretar texto verbal</t>
  </si>
  <si>
    <t>LP02</t>
  </si>
  <si>
    <t>Identificar tema central</t>
  </si>
  <si>
    <t>LP03</t>
  </si>
  <si>
    <t>Localizar informações explícitas</t>
  </si>
  <si>
    <t>LP04</t>
  </si>
  <si>
    <t>Inferir informações implícitas</t>
  </si>
  <si>
    <t>LP05</t>
  </si>
  <si>
    <t>Diferenciar fato e opinião</t>
  </si>
  <si>
    <t>LP06</t>
  </si>
  <si>
    <t>Identificar intenção do autor</t>
  </si>
  <si>
    <t>LP07</t>
  </si>
  <si>
    <t>Reconhecer gênero textual</t>
  </si>
  <si>
    <t>LP08</t>
  </si>
  <si>
    <t>Analisar estrutura do texto</t>
  </si>
  <si>
    <t>LP09</t>
  </si>
  <si>
    <t>Interpretar textos multimodais (imagem + texto)</t>
  </si>
  <si>
    <t>LP10</t>
  </si>
  <si>
    <t>Comparar textos sobre o mesmo tema</t>
  </si>
  <si>
    <t>LP11</t>
  </si>
  <si>
    <t>Avaliar confiabilidade da informação</t>
  </si>
  <si>
    <t>LP12</t>
  </si>
  <si>
    <t>Identificar efeitos de sentido (ironia, humor etc.)</t>
  </si>
  <si>
    <t>LP13</t>
  </si>
  <si>
    <t>Reconhecer uso de conectivos</t>
  </si>
  <si>
    <t>LP14</t>
  </si>
  <si>
    <t>Identificar coesão textual</t>
  </si>
  <si>
    <t>LP15</t>
  </si>
  <si>
    <t>Produzir texto narrativo</t>
  </si>
  <si>
    <t>LP16</t>
  </si>
  <si>
    <t>Produzir texto opinativo</t>
  </si>
  <si>
    <t>LP17</t>
  </si>
  <si>
    <t>Revisar e corrigir texto</t>
  </si>
  <si>
    <t>LP18</t>
  </si>
  <si>
    <t>Compreender hipertextos (links, navegação digital)</t>
  </si>
  <si>
    <t>MT01</t>
  </si>
  <si>
    <t>Resolver problemas com números naturais</t>
  </si>
  <si>
    <t>MT02</t>
  </si>
  <si>
    <t>Resolver problemas com frações</t>
  </si>
  <si>
    <t>MT03</t>
  </si>
  <si>
    <t>Resolver problemas com números decimais</t>
  </si>
  <si>
    <t>MT04</t>
  </si>
  <si>
    <t>Interpretar enunciados matemáticos</t>
  </si>
  <si>
    <t>MT05</t>
  </si>
  <si>
    <t>Realizar operações básicas (4 operações)</t>
  </si>
  <si>
    <t>MT06</t>
  </si>
  <si>
    <t>Aplicar cálculo mental</t>
  </si>
  <si>
    <t>MT07</t>
  </si>
  <si>
    <t>Estimar resultados</t>
  </si>
  <si>
    <t>MT08</t>
  </si>
  <si>
    <t>Identificar padrões numéricos</t>
  </si>
  <si>
    <t>MT09</t>
  </si>
  <si>
    <t>Introdução ao pensamento algébrico</t>
  </si>
  <si>
    <t>MT10</t>
  </si>
  <si>
    <t>Resolver expressões numéricas</t>
  </si>
  <si>
    <t>MT11</t>
  </si>
  <si>
    <t>Trabalhar com múltiplos e divisores</t>
  </si>
  <si>
    <t>MT12</t>
  </si>
  <si>
    <t>Resolver problemas de proporcionalidade simples</t>
  </si>
  <si>
    <t>MT13</t>
  </si>
  <si>
    <t>Interpretar gráficos e tabelas</t>
  </si>
  <si>
    <t>MT14</t>
  </si>
  <si>
    <t>Construir tabelas simples</t>
  </si>
  <si>
    <t>MT15</t>
  </si>
  <si>
    <t>Resolver problemas de medida (tempo, volume, massa)</t>
  </si>
  <si>
    <t>MT16</t>
  </si>
  <si>
    <t>Converter unidades de medida</t>
  </si>
  <si>
    <t>MT17</t>
  </si>
  <si>
    <t>Reconhecer formas geométricas planas</t>
  </si>
  <si>
    <t>MT18</t>
  </si>
  <si>
    <t>Calcular perímetro</t>
  </si>
  <si>
    <t>MT19</t>
  </si>
  <si>
    <t>Calcular área (básico)</t>
  </si>
  <si>
    <t>MT20</t>
  </si>
  <si>
    <t>Interpretar situações do cotidiano com matemática</t>
  </si>
  <si>
    <t>SCI01</t>
  </si>
  <si>
    <t>Compreender método científico</t>
  </si>
  <si>
    <t>SCI02</t>
  </si>
  <si>
    <t>Formular hipóteses</t>
  </si>
  <si>
    <t>SCI03</t>
  </si>
  <si>
    <t>Interpretar experimentos</t>
  </si>
  <si>
    <t>SCI04</t>
  </si>
  <si>
    <t>Registrar observações</t>
  </si>
  <si>
    <t>SCI05</t>
  </si>
  <si>
    <t>Identificar estados físicos da matéria</t>
  </si>
  <si>
    <t>SCI06</t>
  </si>
  <si>
    <t>Compreender mudanças de estado</t>
  </si>
  <si>
    <t>SCI07</t>
  </si>
  <si>
    <t>Identificar propriedades da matéria</t>
  </si>
  <si>
    <t>SCI08</t>
  </si>
  <si>
    <t>Entender mistura e separação de materiais</t>
  </si>
  <si>
    <t>SCI09</t>
  </si>
  <si>
    <t>Compreender energia e suas formas</t>
  </si>
  <si>
    <t>SCI10</t>
  </si>
  <si>
    <t>Identificar fontes de energia</t>
  </si>
  <si>
    <t>SCI11</t>
  </si>
  <si>
    <t>Entender sistema solar</t>
  </si>
  <si>
    <t>SCI12</t>
  </si>
  <si>
    <t>Compreender planeta Terra</t>
  </si>
  <si>
    <t>SCI13</t>
  </si>
  <si>
    <t>Identificar camadas da Terra</t>
  </si>
  <si>
    <t>SCI14</t>
  </si>
  <si>
    <t>Compreender fenômenos naturais</t>
  </si>
  <si>
    <t>SCI15</t>
  </si>
  <si>
    <t>Entender ciclos naturais (água, etc.)</t>
  </si>
  <si>
    <t>SCI16</t>
  </si>
  <si>
    <t>Compreender ecossistemas</t>
  </si>
  <si>
    <t>SCI17</t>
  </si>
  <si>
    <t>Identificar relações ecológicas</t>
  </si>
  <si>
    <t>SCI18</t>
  </si>
  <si>
    <t>Entender impacto ambiental</t>
  </si>
  <si>
    <t>SCI19</t>
  </si>
  <si>
    <t>Compreender sustentabilidade</t>
  </si>
  <si>
    <t>SCI20</t>
  </si>
  <si>
    <t>Relacionar ciência ao cotidiano</t>
  </si>
  <si>
    <t>HIS01</t>
  </si>
  <si>
    <t>Compreender noção de tempo histórico</t>
  </si>
  <si>
    <t>HIS02</t>
  </si>
  <si>
    <t>Identificar diferentes períodos históricos</t>
  </si>
  <si>
    <t>HIS03</t>
  </si>
  <si>
    <t>Comparar sociedades antigas</t>
  </si>
  <si>
    <t>HIS04</t>
  </si>
  <si>
    <t>Identificar fontes históricas</t>
  </si>
  <si>
    <t>HIS05</t>
  </si>
  <si>
    <t>Interpretar documentos históricos</t>
  </si>
  <si>
    <t>HIS06</t>
  </si>
  <si>
    <t>Analisar diferentes versões de um fato</t>
  </si>
  <si>
    <t>HIS07</t>
  </si>
  <si>
    <t>Entender cultura e diversidade</t>
  </si>
  <si>
    <t>HIS08</t>
  </si>
  <si>
    <t>Identificar formas de organização social</t>
  </si>
  <si>
    <t>HIS09</t>
  </si>
  <si>
    <t>Compreender origem das civilizações</t>
  </si>
  <si>
    <t>HIS10</t>
  </si>
  <si>
    <t>Relacionar passado e presente</t>
  </si>
  <si>
    <t>HIS11</t>
  </si>
  <si>
    <t>Identificar mudanças e permanências</t>
  </si>
  <si>
    <t>HIS12</t>
  </si>
  <si>
    <t>Compreender processos históricos</t>
  </si>
  <si>
    <t>HIS13</t>
  </si>
  <si>
    <t>Reconhecer diferentes culturas</t>
  </si>
  <si>
    <t>HIS14</t>
  </si>
  <si>
    <t>Analisar relações de poder</t>
  </si>
  <si>
    <t>HIS15</t>
  </si>
  <si>
    <t>Interpretar narrativas históricas</t>
  </si>
  <si>
    <t>HIS16</t>
  </si>
  <si>
    <t>Comparar modos de vida</t>
  </si>
  <si>
    <t>HIS17</t>
  </si>
  <si>
    <t>Analisar conflitos históricos</t>
  </si>
  <si>
    <t>HIS18</t>
  </si>
  <si>
    <t>Desenvolver pensamento crítico histórico</t>
  </si>
  <si>
    <t>ART01</t>
  </si>
  <si>
    <t>Reconhecer diferentes linguagens artísticas (visual, música, teatro, dança)</t>
  </si>
  <si>
    <t>ART02</t>
  </si>
  <si>
    <t>Identificar elementos visuais (cor, forma, linha)</t>
  </si>
  <si>
    <t>ART03</t>
  </si>
  <si>
    <t>Analisar obras de arte</t>
  </si>
  <si>
    <t>ART04</t>
  </si>
  <si>
    <t>Interpretar significado de obras</t>
  </si>
  <si>
    <t>ART05</t>
  </si>
  <si>
    <t>Reconhecer contexto cultural da arte</t>
  </si>
  <si>
    <t>ART06</t>
  </si>
  <si>
    <t>Identificar estilos artísticos</t>
  </si>
  <si>
    <t>ART07</t>
  </si>
  <si>
    <t>GEO01</t>
  </si>
  <si>
    <t>Comparar obras de diferentes épocas</t>
  </si>
  <si>
    <t>ART08</t>
  </si>
  <si>
    <t>Compreender conceito de espaço geográfico</t>
  </si>
  <si>
    <t>Expressar ideias por meio de desenho</t>
  </si>
  <si>
    <t>ART09</t>
  </si>
  <si>
    <t>GEO02</t>
  </si>
  <si>
    <t>Produzir trabalhos artísticos</t>
  </si>
  <si>
    <t>Identificar paisagens naturais e humanizadas</t>
  </si>
  <si>
    <t>ART10</t>
  </si>
  <si>
    <t>GEO03</t>
  </si>
  <si>
    <t>Experimentar materiais e técnicas</t>
  </si>
  <si>
    <t>Diferenciar tempo e clima</t>
  </si>
  <si>
    <t>ART11</t>
  </si>
  <si>
    <t>GEO04</t>
  </si>
  <si>
    <t>Criar composições visuais</t>
  </si>
  <si>
    <t>Identificar tipos de clima</t>
  </si>
  <si>
    <t>ART12</t>
  </si>
  <si>
    <t>GEO05</t>
  </si>
  <si>
    <t>Desenvolver criatividade</t>
  </si>
  <si>
    <t>Compreender relevo terrestre</t>
  </si>
  <si>
    <t>ART13</t>
  </si>
  <si>
    <t>Reconhecer manifestações culturais brasileiras</t>
  </si>
  <si>
    <t>GEO06</t>
  </si>
  <si>
    <t>ART14</t>
  </si>
  <si>
    <t>Identificar recursos naturais</t>
  </si>
  <si>
    <t>Relacionar arte e sociedade</t>
  </si>
  <si>
    <t>GEO07</t>
  </si>
  <si>
    <t>ART15</t>
  </si>
  <si>
    <t>Interpretar música (ritmo, melodia)</t>
  </si>
  <si>
    <t>Analisar uso dos recursos naturais</t>
  </si>
  <si>
    <t>ART16</t>
  </si>
  <si>
    <t>Participar de atividades artísticas</t>
  </si>
  <si>
    <t>GEO08</t>
  </si>
  <si>
    <t>Compreender impacto ambiental humano</t>
  </si>
  <si>
    <t>ART17</t>
  </si>
  <si>
    <t>Avaliar produções artísticas</t>
  </si>
  <si>
    <t>GEO09</t>
  </si>
  <si>
    <t>ART18</t>
  </si>
  <si>
    <t>Identificar problemas ambientais</t>
  </si>
  <si>
    <t>Comunicar ideias por linguagem artística</t>
  </si>
  <si>
    <t>GEO10</t>
  </si>
  <si>
    <t>Entender hidrografia básica</t>
  </si>
  <si>
    <t>GEO11</t>
  </si>
  <si>
    <t>Interpretar mapas simples</t>
  </si>
  <si>
    <t>GEO12</t>
  </si>
  <si>
    <t>Localizar-se no espaço (orientação)</t>
  </si>
  <si>
    <t>GEO13</t>
  </si>
  <si>
    <t>Compreender urbanização</t>
  </si>
  <si>
    <t>GEO14</t>
  </si>
  <si>
    <t>Analisar transformação do espaço urbano</t>
  </si>
  <si>
    <t>GEO15</t>
  </si>
  <si>
    <t>Entender atividades econômicas básicas</t>
  </si>
  <si>
    <t>GEO16</t>
  </si>
  <si>
    <t>Relacionar sociedade e natureza</t>
  </si>
  <si>
    <t>GEO17</t>
  </si>
  <si>
    <t>Comparar diferentes regiões</t>
  </si>
  <si>
    <t>GEO18</t>
  </si>
  <si>
    <t>Interpretar gráficos geográficos</t>
  </si>
  <si>
    <t>EF01</t>
  </si>
  <si>
    <t>Compreender o funcionamento do corpo</t>
  </si>
  <si>
    <t>EF02</t>
  </si>
  <si>
    <t>Identificar capacidades físicas (força, resistência, etc.)</t>
  </si>
  <si>
    <t>EF03</t>
  </si>
  <si>
    <t>Praticar atividades físicas básicas</t>
  </si>
  <si>
    <t>EF04</t>
  </si>
  <si>
    <t>Diferenciar atividade física e exercício</t>
  </si>
  <si>
    <t>EF05</t>
  </si>
  <si>
    <t>Conhecer regras de esportes</t>
  </si>
  <si>
    <t>EF06</t>
  </si>
  <si>
    <t>Aplicar regras em jogos</t>
  </si>
  <si>
    <t>EF07</t>
  </si>
  <si>
    <t>Desenvolver coordenação motora</t>
  </si>
  <si>
    <t>EF08</t>
  </si>
  <si>
    <t>Trabalhar em equipe</t>
  </si>
  <si>
    <t>EF09</t>
  </si>
  <si>
    <t>Respeitar regras e colegas</t>
  </si>
  <si>
    <t>EF10</t>
  </si>
  <si>
    <t>Compreender importância da atividade física</t>
  </si>
  <si>
    <t>EF11</t>
  </si>
  <si>
    <t>Relacionar exercício e saúde</t>
  </si>
  <si>
    <t>EF12</t>
  </si>
  <si>
    <t>Desenvolver equilíbrio</t>
  </si>
  <si>
    <t>EF13</t>
  </si>
  <si>
    <t>Desenvolver agilidade</t>
  </si>
  <si>
    <t>EF14</t>
  </si>
  <si>
    <t>Participar de jogos cooperativos</t>
  </si>
  <si>
    <t>EF15</t>
  </si>
  <si>
    <t>Conhecer esportes variados</t>
  </si>
  <si>
    <t>EF16</t>
  </si>
  <si>
    <t>Desenvolver hábitos saudáveis</t>
  </si>
  <si>
    <t>EF17</t>
  </si>
  <si>
    <t>Compreender limites do corpo</t>
  </si>
  <si>
    <t>EF18</t>
  </si>
  <si>
    <t>Prevenir lesões básicas</t>
  </si>
  <si>
    <t>Pontuação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</si>
</sst>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rial&quot;"/>
    </font>
    <font>
      <sz val="12.0"/>
      <color rgb="FF42424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3D3D3"/>
        <bgColor rgb="FFD3D3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iago Fernandes" id="{84ef8c20-3b64-42c4-b089-dc650c81011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11T12:24:52.00" personId="{84ef8c20-3b64-42c4-b089-dc650c81011a}" id="{aadff09a-7992-47aa-b2c8-9140fed2c8b6}" done="0">
    <x18tc:text xml:space="preserve">Aqui a tabela funcionará com 0 não fez , 1 errou, 2 acertou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11T12:34:25.00" personId="{84ef8c20-3b64-42c4-b089-dc650c81011a}" id="{d77d4fda-92f6-4111-905c-0b769aac06de}" done="0">
    <x18tc:text xml:space="preserve">Pontuação 5 se errou e 10 se acertou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</cols>
  <sheetData>
    <row r="1">
      <c r="C1" s="1" t="str">
        <f>IFERROR(__xludf.DUMMYFUNCTION("TRANSPOSE({
  FILTER('Habilidades Portugues'!A:B, 'Habilidades Portugues'!A:A &lt;&gt; """");
  FILTER('Habilidades Matemática'!A:B, 'Habilidades Matemática'!A:A &lt;&gt; """");
  FILTER('Habilidades Ciências'!A:B, 'Habilidades Ciências'!A:A &lt;&gt; """");
  FILTER('Habil"&amp;"idades Geografia'!A:B, 'Habilidades Geografia'!A:A &lt;&gt; """");
  FILTER('Habilidades História'!A:B, 'Habilidades História'!A:A &lt;&gt; """");
  FILTER('Habilidades Artes'!A:B, 'Habilidades Artes'!A:A &lt;&gt; """");
  FILTER('Habilidades Ed.física'!A:B, 'Habilidades E"&amp;"d.física'!A:A &lt;&gt; """");
  FILTER('Habilidades Inglês'!A:B, 'Habilidades Inglês'!A:A &lt;&gt; """")
})"),"LP01")</f>
        <v>LP01</v>
      </c>
      <c r="D1" s="4" t="str">
        <f>IFERROR(__xludf.DUMMYFUNCTION("""COMPUTED_VALUE"""),"LP02")</f>
        <v>LP02</v>
      </c>
      <c r="E1" s="4" t="str">
        <f>IFERROR(__xludf.DUMMYFUNCTION("""COMPUTED_VALUE"""),"LP03")</f>
        <v>LP03</v>
      </c>
      <c r="F1" s="4" t="str">
        <f>IFERROR(__xludf.DUMMYFUNCTION("""COMPUTED_VALUE"""),"LP04")</f>
        <v>LP04</v>
      </c>
      <c r="G1" s="4" t="str">
        <f>IFERROR(__xludf.DUMMYFUNCTION("""COMPUTED_VALUE"""),"LP05")</f>
        <v>LP05</v>
      </c>
      <c r="H1" s="4" t="str">
        <f>IFERROR(__xludf.DUMMYFUNCTION("""COMPUTED_VALUE"""),"LP06")</f>
        <v>LP06</v>
      </c>
      <c r="I1" s="4" t="str">
        <f>IFERROR(__xludf.DUMMYFUNCTION("""COMPUTED_VALUE"""),"LP07")</f>
        <v>LP07</v>
      </c>
      <c r="J1" s="4" t="str">
        <f>IFERROR(__xludf.DUMMYFUNCTION("""COMPUTED_VALUE"""),"LP08")</f>
        <v>LP08</v>
      </c>
      <c r="K1" s="4" t="str">
        <f>IFERROR(__xludf.DUMMYFUNCTION("""COMPUTED_VALUE"""),"LP09")</f>
        <v>LP09</v>
      </c>
      <c r="L1" s="4" t="str">
        <f>IFERROR(__xludf.DUMMYFUNCTION("""COMPUTED_VALUE"""),"LP10")</f>
        <v>LP10</v>
      </c>
      <c r="M1" s="4" t="str">
        <f>IFERROR(__xludf.DUMMYFUNCTION("""COMPUTED_VALUE"""),"LP11")</f>
        <v>LP11</v>
      </c>
      <c r="N1" s="4" t="str">
        <f>IFERROR(__xludf.DUMMYFUNCTION("""COMPUTED_VALUE"""),"LP12")</f>
        <v>LP12</v>
      </c>
      <c r="O1" s="4" t="str">
        <f>IFERROR(__xludf.DUMMYFUNCTION("""COMPUTED_VALUE"""),"LP13")</f>
        <v>LP13</v>
      </c>
      <c r="P1" s="4" t="str">
        <f>IFERROR(__xludf.DUMMYFUNCTION("""COMPUTED_VALUE"""),"LP14")</f>
        <v>LP14</v>
      </c>
      <c r="Q1" s="4" t="str">
        <f>IFERROR(__xludf.DUMMYFUNCTION("""COMPUTED_VALUE"""),"LP15")</f>
        <v>LP15</v>
      </c>
      <c r="R1" s="4" t="str">
        <f>IFERROR(__xludf.DUMMYFUNCTION("""COMPUTED_VALUE"""),"LP16")</f>
        <v>LP16</v>
      </c>
      <c r="S1" s="4" t="str">
        <f>IFERROR(__xludf.DUMMYFUNCTION("""COMPUTED_VALUE"""),"LP17")</f>
        <v>LP17</v>
      </c>
      <c r="T1" s="4" t="str">
        <f>IFERROR(__xludf.DUMMYFUNCTION("""COMPUTED_VALUE"""),"LP18")</f>
        <v>LP18</v>
      </c>
      <c r="U1" s="4" t="str">
        <f>IFERROR(__xludf.DUMMYFUNCTION("""COMPUTED_VALUE"""),"MT01")</f>
        <v>MT01</v>
      </c>
      <c r="V1" s="4" t="str">
        <f>IFERROR(__xludf.DUMMYFUNCTION("""COMPUTED_VALUE"""),"MT02")</f>
        <v>MT02</v>
      </c>
      <c r="W1" s="4" t="str">
        <f>IFERROR(__xludf.DUMMYFUNCTION("""COMPUTED_VALUE"""),"MT03")</f>
        <v>MT03</v>
      </c>
      <c r="X1" s="4" t="str">
        <f>IFERROR(__xludf.DUMMYFUNCTION("""COMPUTED_VALUE"""),"MT04")</f>
        <v>MT04</v>
      </c>
      <c r="Y1" s="4" t="str">
        <f>IFERROR(__xludf.DUMMYFUNCTION("""COMPUTED_VALUE"""),"MT05")</f>
        <v>MT05</v>
      </c>
      <c r="Z1" s="4" t="str">
        <f>IFERROR(__xludf.DUMMYFUNCTION("""COMPUTED_VALUE"""),"MT06")</f>
        <v>MT06</v>
      </c>
      <c r="AA1" s="4" t="str">
        <f>IFERROR(__xludf.DUMMYFUNCTION("""COMPUTED_VALUE"""),"MT07")</f>
        <v>MT07</v>
      </c>
      <c r="AB1" s="4" t="str">
        <f>IFERROR(__xludf.DUMMYFUNCTION("""COMPUTED_VALUE"""),"MT08")</f>
        <v>MT08</v>
      </c>
      <c r="AC1" s="4" t="str">
        <f>IFERROR(__xludf.DUMMYFUNCTION("""COMPUTED_VALUE"""),"MT09")</f>
        <v>MT09</v>
      </c>
      <c r="AD1" s="4" t="str">
        <f>IFERROR(__xludf.DUMMYFUNCTION("""COMPUTED_VALUE"""),"MT10")</f>
        <v>MT10</v>
      </c>
      <c r="AE1" s="4" t="str">
        <f>IFERROR(__xludf.DUMMYFUNCTION("""COMPUTED_VALUE"""),"MT11")</f>
        <v>MT11</v>
      </c>
      <c r="AF1" s="4" t="str">
        <f>IFERROR(__xludf.DUMMYFUNCTION("""COMPUTED_VALUE"""),"MT12")</f>
        <v>MT12</v>
      </c>
      <c r="AG1" s="4" t="str">
        <f>IFERROR(__xludf.DUMMYFUNCTION("""COMPUTED_VALUE"""),"MT13")</f>
        <v>MT13</v>
      </c>
      <c r="AH1" s="4" t="str">
        <f>IFERROR(__xludf.DUMMYFUNCTION("""COMPUTED_VALUE"""),"MT14")</f>
        <v>MT14</v>
      </c>
      <c r="AI1" s="4" t="str">
        <f>IFERROR(__xludf.DUMMYFUNCTION("""COMPUTED_VALUE"""),"MT15")</f>
        <v>MT15</v>
      </c>
      <c r="AJ1" s="4" t="str">
        <f>IFERROR(__xludf.DUMMYFUNCTION("""COMPUTED_VALUE"""),"MT16")</f>
        <v>MT16</v>
      </c>
      <c r="AK1" s="4" t="str">
        <f>IFERROR(__xludf.DUMMYFUNCTION("""COMPUTED_VALUE"""),"MT17")</f>
        <v>MT17</v>
      </c>
      <c r="AL1" s="4" t="str">
        <f>IFERROR(__xludf.DUMMYFUNCTION("""COMPUTED_VALUE"""),"MT18")</f>
        <v>MT18</v>
      </c>
      <c r="AM1" s="4" t="str">
        <f>IFERROR(__xludf.DUMMYFUNCTION("""COMPUTED_VALUE"""),"MT19")</f>
        <v>MT19</v>
      </c>
      <c r="AN1" s="4" t="str">
        <f>IFERROR(__xludf.DUMMYFUNCTION("""COMPUTED_VALUE"""),"MT20")</f>
        <v>MT20</v>
      </c>
      <c r="AO1" s="4" t="str">
        <f>IFERROR(__xludf.DUMMYFUNCTION("""COMPUTED_VALUE"""),"SCI01")</f>
        <v>SCI01</v>
      </c>
      <c r="AP1" s="4" t="str">
        <f>IFERROR(__xludf.DUMMYFUNCTION("""COMPUTED_VALUE"""),"SCI02")</f>
        <v>SCI02</v>
      </c>
      <c r="AQ1" s="4" t="str">
        <f>IFERROR(__xludf.DUMMYFUNCTION("""COMPUTED_VALUE"""),"SCI03")</f>
        <v>SCI03</v>
      </c>
      <c r="AR1" s="4" t="str">
        <f>IFERROR(__xludf.DUMMYFUNCTION("""COMPUTED_VALUE"""),"SCI04")</f>
        <v>SCI04</v>
      </c>
      <c r="AS1" s="4" t="str">
        <f>IFERROR(__xludf.DUMMYFUNCTION("""COMPUTED_VALUE"""),"SCI05")</f>
        <v>SCI05</v>
      </c>
      <c r="AT1" s="4" t="str">
        <f>IFERROR(__xludf.DUMMYFUNCTION("""COMPUTED_VALUE"""),"SCI06")</f>
        <v>SCI06</v>
      </c>
      <c r="AU1" s="4" t="str">
        <f>IFERROR(__xludf.DUMMYFUNCTION("""COMPUTED_VALUE"""),"SCI07")</f>
        <v>SCI07</v>
      </c>
      <c r="AV1" s="4" t="str">
        <f>IFERROR(__xludf.DUMMYFUNCTION("""COMPUTED_VALUE"""),"SCI08")</f>
        <v>SCI08</v>
      </c>
      <c r="AW1" s="4" t="str">
        <f>IFERROR(__xludf.DUMMYFUNCTION("""COMPUTED_VALUE"""),"SCI09")</f>
        <v>SCI09</v>
      </c>
      <c r="AX1" s="4" t="str">
        <f>IFERROR(__xludf.DUMMYFUNCTION("""COMPUTED_VALUE"""),"SCI10")</f>
        <v>SCI10</v>
      </c>
      <c r="AY1" s="4" t="str">
        <f>IFERROR(__xludf.DUMMYFUNCTION("""COMPUTED_VALUE"""),"SCI11")</f>
        <v>SCI11</v>
      </c>
      <c r="AZ1" s="4" t="str">
        <f>IFERROR(__xludf.DUMMYFUNCTION("""COMPUTED_VALUE"""),"SCI12")</f>
        <v>SCI12</v>
      </c>
      <c r="BA1" s="4" t="str">
        <f>IFERROR(__xludf.DUMMYFUNCTION("""COMPUTED_VALUE"""),"SCI13")</f>
        <v>SCI13</v>
      </c>
      <c r="BB1" s="4" t="str">
        <f>IFERROR(__xludf.DUMMYFUNCTION("""COMPUTED_VALUE"""),"SCI14")</f>
        <v>SCI14</v>
      </c>
      <c r="BC1" s="4" t="str">
        <f>IFERROR(__xludf.DUMMYFUNCTION("""COMPUTED_VALUE"""),"SCI15")</f>
        <v>SCI15</v>
      </c>
      <c r="BD1" s="4" t="str">
        <f>IFERROR(__xludf.DUMMYFUNCTION("""COMPUTED_VALUE"""),"SCI16")</f>
        <v>SCI16</v>
      </c>
      <c r="BE1" s="4" t="str">
        <f>IFERROR(__xludf.DUMMYFUNCTION("""COMPUTED_VALUE"""),"SCI17")</f>
        <v>SCI17</v>
      </c>
      <c r="BF1" s="4" t="str">
        <f>IFERROR(__xludf.DUMMYFUNCTION("""COMPUTED_VALUE"""),"SCI18")</f>
        <v>SCI18</v>
      </c>
      <c r="BG1" s="4" t="str">
        <f>IFERROR(__xludf.DUMMYFUNCTION("""COMPUTED_VALUE"""),"SCI19")</f>
        <v>SCI19</v>
      </c>
      <c r="BH1" s="4" t="str">
        <f>IFERROR(__xludf.DUMMYFUNCTION("""COMPUTED_VALUE"""),"SCI20")</f>
        <v>SCI20</v>
      </c>
      <c r="BI1" s="4" t="str">
        <f>IFERROR(__xludf.DUMMYFUNCTION("""COMPUTED_VALUE"""),"GEO01")</f>
        <v>GEO01</v>
      </c>
      <c r="BJ1" s="4" t="str">
        <f>IFERROR(__xludf.DUMMYFUNCTION("""COMPUTED_VALUE"""),"GEO02")</f>
        <v>GEO02</v>
      </c>
      <c r="BK1" s="4" t="str">
        <f>IFERROR(__xludf.DUMMYFUNCTION("""COMPUTED_VALUE"""),"GEO03")</f>
        <v>GEO03</v>
      </c>
      <c r="BL1" s="4" t="str">
        <f>IFERROR(__xludf.DUMMYFUNCTION("""COMPUTED_VALUE"""),"GEO04")</f>
        <v>GEO04</v>
      </c>
      <c r="BM1" s="4" t="str">
        <f>IFERROR(__xludf.DUMMYFUNCTION("""COMPUTED_VALUE"""),"GEO05")</f>
        <v>GEO05</v>
      </c>
      <c r="BN1" s="4" t="str">
        <f>IFERROR(__xludf.DUMMYFUNCTION("""COMPUTED_VALUE"""),"GEO06")</f>
        <v>GEO06</v>
      </c>
      <c r="BO1" s="4" t="str">
        <f>IFERROR(__xludf.DUMMYFUNCTION("""COMPUTED_VALUE"""),"GEO07")</f>
        <v>GEO07</v>
      </c>
      <c r="BP1" s="4" t="str">
        <f>IFERROR(__xludf.DUMMYFUNCTION("""COMPUTED_VALUE"""),"GEO08")</f>
        <v>GEO08</v>
      </c>
      <c r="BQ1" s="4" t="str">
        <f>IFERROR(__xludf.DUMMYFUNCTION("""COMPUTED_VALUE"""),"GEO09")</f>
        <v>GEO09</v>
      </c>
      <c r="BR1" s="4" t="str">
        <f>IFERROR(__xludf.DUMMYFUNCTION("""COMPUTED_VALUE"""),"GEO10")</f>
        <v>GEO10</v>
      </c>
      <c r="BS1" s="4" t="str">
        <f>IFERROR(__xludf.DUMMYFUNCTION("""COMPUTED_VALUE"""),"GEO11")</f>
        <v>GEO11</v>
      </c>
      <c r="BT1" s="4" t="str">
        <f>IFERROR(__xludf.DUMMYFUNCTION("""COMPUTED_VALUE"""),"GEO12")</f>
        <v>GEO12</v>
      </c>
      <c r="BU1" s="4" t="str">
        <f>IFERROR(__xludf.DUMMYFUNCTION("""COMPUTED_VALUE"""),"GEO13")</f>
        <v>GEO13</v>
      </c>
      <c r="BV1" s="4" t="str">
        <f>IFERROR(__xludf.DUMMYFUNCTION("""COMPUTED_VALUE"""),"GEO14")</f>
        <v>GEO14</v>
      </c>
      <c r="BW1" s="4" t="str">
        <f>IFERROR(__xludf.DUMMYFUNCTION("""COMPUTED_VALUE"""),"GEO15")</f>
        <v>GEO15</v>
      </c>
      <c r="BX1" s="4" t="str">
        <f>IFERROR(__xludf.DUMMYFUNCTION("""COMPUTED_VALUE"""),"GEO16")</f>
        <v>GEO16</v>
      </c>
      <c r="BY1" s="4" t="str">
        <f>IFERROR(__xludf.DUMMYFUNCTION("""COMPUTED_VALUE"""),"GEO17")</f>
        <v>GEO17</v>
      </c>
      <c r="BZ1" s="4" t="str">
        <f>IFERROR(__xludf.DUMMYFUNCTION("""COMPUTED_VALUE"""),"GEO18")</f>
        <v>GEO18</v>
      </c>
      <c r="CA1" s="4" t="str">
        <f>IFERROR(__xludf.DUMMYFUNCTION("""COMPUTED_VALUE"""),"HIS01")</f>
        <v>HIS01</v>
      </c>
      <c r="CB1" s="4" t="str">
        <f>IFERROR(__xludf.DUMMYFUNCTION("""COMPUTED_VALUE"""),"HIS02")</f>
        <v>HIS02</v>
      </c>
      <c r="CC1" s="4" t="str">
        <f>IFERROR(__xludf.DUMMYFUNCTION("""COMPUTED_VALUE"""),"HIS03")</f>
        <v>HIS03</v>
      </c>
      <c r="CD1" s="4" t="str">
        <f>IFERROR(__xludf.DUMMYFUNCTION("""COMPUTED_VALUE"""),"HIS04")</f>
        <v>HIS04</v>
      </c>
      <c r="CE1" s="4" t="str">
        <f>IFERROR(__xludf.DUMMYFUNCTION("""COMPUTED_VALUE"""),"HIS05")</f>
        <v>HIS05</v>
      </c>
      <c r="CF1" s="4" t="str">
        <f>IFERROR(__xludf.DUMMYFUNCTION("""COMPUTED_VALUE"""),"HIS06")</f>
        <v>HIS06</v>
      </c>
      <c r="CG1" s="4" t="str">
        <f>IFERROR(__xludf.DUMMYFUNCTION("""COMPUTED_VALUE"""),"HIS07")</f>
        <v>HIS07</v>
      </c>
      <c r="CH1" s="4" t="str">
        <f>IFERROR(__xludf.DUMMYFUNCTION("""COMPUTED_VALUE"""),"HIS08")</f>
        <v>HIS08</v>
      </c>
      <c r="CI1" s="4" t="str">
        <f>IFERROR(__xludf.DUMMYFUNCTION("""COMPUTED_VALUE"""),"HIS09")</f>
        <v>HIS09</v>
      </c>
      <c r="CJ1" s="4" t="str">
        <f>IFERROR(__xludf.DUMMYFUNCTION("""COMPUTED_VALUE"""),"HIS10")</f>
        <v>HIS10</v>
      </c>
      <c r="CK1" s="4" t="str">
        <f>IFERROR(__xludf.DUMMYFUNCTION("""COMPUTED_VALUE"""),"HIS11")</f>
        <v>HIS11</v>
      </c>
      <c r="CL1" s="4" t="str">
        <f>IFERROR(__xludf.DUMMYFUNCTION("""COMPUTED_VALUE"""),"HIS12")</f>
        <v>HIS12</v>
      </c>
      <c r="CM1" s="4" t="str">
        <f>IFERROR(__xludf.DUMMYFUNCTION("""COMPUTED_VALUE"""),"HIS13")</f>
        <v>HIS13</v>
      </c>
      <c r="CN1" s="4" t="str">
        <f>IFERROR(__xludf.DUMMYFUNCTION("""COMPUTED_VALUE"""),"HIS14")</f>
        <v>HIS14</v>
      </c>
      <c r="CO1" s="4" t="str">
        <f>IFERROR(__xludf.DUMMYFUNCTION("""COMPUTED_VALUE"""),"HIS15")</f>
        <v>HIS15</v>
      </c>
      <c r="CP1" s="4" t="str">
        <f>IFERROR(__xludf.DUMMYFUNCTION("""COMPUTED_VALUE"""),"HIS16")</f>
        <v>HIS16</v>
      </c>
      <c r="CQ1" s="4" t="str">
        <f>IFERROR(__xludf.DUMMYFUNCTION("""COMPUTED_VALUE"""),"HIS17")</f>
        <v>HIS17</v>
      </c>
      <c r="CR1" s="4" t="str">
        <f>IFERROR(__xludf.DUMMYFUNCTION("""COMPUTED_VALUE"""),"HIS18")</f>
        <v>HIS18</v>
      </c>
      <c r="CS1" s="4" t="str">
        <f>IFERROR(__xludf.DUMMYFUNCTION("""COMPUTED_VALUE"""),"ART01")</f>
        <v>ART01</v>
      </c>
      <c r="CT1" s="4" t="str">
        <f>IFERROR(__xludf.DUMMYFUNCTION("""COMPUTED_VALUE"""),"ART02")</f>
        <v>ART02</v>
      </c>
      <c r="CU1" s="4" t="str">
        <f>IFERROR(__xludf.DUMMYFUNCTION("""COMPUTED_VALUE"""),"ART03")</f>
        <v>ART03</v>
      </c>
      <c r="CV1" s="4" t="str">
        <f>IFERROR(__xludf.DUMMYFUNCTION("""COMPUTED_VALUE"""),"ART04")</f>
        <v>ART04</v>
      </c>
      <c r="CW1" s="4" t="str">
        <f>IFERROR(__xludf.DUMMYFUNCTION("""COMPUTED_VALUE"""),"ART05")</f>
        <v>ART05</v>
      </c>
      <c r="CX1" s="4" t="str">
        <f>IFERROR(__xludf.DUMMYFUNCTION("""COMPUTED_VALUE"""),"ART06")</f>
        <v>ART06</v>
      </c>
      <c r="CY1" s="4" t="str">
        <f>IFERROR(__xludf.DUMMYFUNCTION("""COMPUTED_VALUE"""),"ART07")</f>
        <v>ART07</v>
      </c>
      <c r="CZ1" s="4" t="str">
        <f>IFERROR(__xludf.DUMMYFUNCTION("""COMPUTED_VALUE"""),"ART08")</f>
        <v>ART08</v>
      </c>
      <c r="DA1" s="4" t="str">
        <f>IFERROR(__xludf.DUMMYFUNCTION("""COMPUTED_VALUE"""),"ART09")</f>
        <v>ART09</v>
      </c>
      <c r="DB1" s="4" t="str">
        <f>IFERROR(__xludf.DUMMYFUNCTION("""COMPUTED_VALUE"""),"ART10")</f>
        <v>ART10</v>
      </c>
      <c r="DC1" s="4" t="str">
        <f>IFERROR(__xludf.DUMMYFUNCTION("""COMPUTED_VALUE"""),"ART11")</f>
        <v>ART11</v>
      </c>
      <c r="DD1" s="4" t="str">
        <f>IFERROR(__xludf.DUMMYFUNCTION("""COMPUTED_VALUE"""),"ART12")</f>
        <v>ART12</v>
      </c>
      <c r="DE1" s="4" t="str">
        <f>IFERROR(__xludf.DUMMYFUNCTION("""COMPUTED_VALUE"""),"ART13")</f>
        <v>ART13</v>
      </c>
      <c r="DF1" s="4" t="str">
        <f>IFERROR(__xludf.DUMMYFUNCTION("""COMPUTED_VALUE"""),"ART14")</f>
        <v>ART14</v>
      </c>
      <c r="DG1" s="4" t="str">
        <f>IFERROR(__xludf.DUMMYFUNCTION("""COMPUTED_VALUE"""),"ART15")</f>
        <v>ART15</v>
      </c>
      <c r="DH1" s="4" t="str">
        <f>IFERROR(__xludf.DUMMYFUNCTION("""COMPUTED_VALUE"""),"ART16")</f>
        <v>ART16</v>
      </c>
      <c r="DI1" s="4" t="str">
        <f>IFERROR(__xludf.DUMMYFUNCTION("""COMPUTED_VALUE"""),"ART17")</f>
        <v>ART17</v>
      </c>
      <c r="DJ1" s="4" t="str">
        <f>IFERROR(__xludf.DUMMYFUNCTION("""COMPUTED_VALUE"""),"ART18")</f>
        <v>ART18</v>
      </c>
      <c r="DK1" s="4" t="str">
        <f>IFERROR(__xludf.DUMMYFUNCTION("""COMPUTED_VALUE"""),"EF01")</f>
        <v>EF01</v>
      </c>
      <c r="DL1" s="4" t="str">
        <f>IFERROR(__xludf.DUMMYFUNCTION("""COMPUTED_VALUE"""),"EF02")</f>
        <v>EF02</v>
      </c>
      <c r="DM1" s="4" t="str">
        <f>IFERROR(__xludf.DUMMYFUNCTION("""COMPUTED_VALUE"""),"EF03")</f>
        <v>EF03</v>
      </c>
      <c r="DN1" s="4" t="str">
        <f>IFERROR(__xludf.DUMMYFUNCTION("""COMPUTED_VALUE"""),"EF04")</f>
        <v>EF04</v>
      </c>
      <c r="DO1" s="4" t="str">
        <f>IFERROR(__xludf.DUMMYFUNCTION("""COMPUTED_VALUE"""),"EF05")</f>
        <v>EF05</v>
      </c>
      <c r="DP1" s="4" t="str">
        <f>IFERROR(__xludf.DUMMYFUNCTION("""COMPUTED_VALUE"""),"EF06")</f>
        <v>EF06</v>
      </c>
      <c r="DQ1" s="4" t="str">
        <f>IFERROR(__xludf.DUMMYFUNCTION("""COMPUTED_VALUE"""),"EF07")</f>
        <v>EF07</v>
      </c>
      <c r="DR1" s="4" t="str">
        <f>IFERROR(__xludf.DUMMYFUNCTION("""COMPUTED_VALUE"""),"EF08")</f>
        <v>EF08</v>
      </c>
      <c r="DS1" s="4" t="str">
        <f>IFERROR(__xludf.DUMMYFUNCTION("""COMPUTED_VALUE"""),"EF09")</f>
        <v>EF09</v>
      </c>
      <c r="DT1" s="4" t="str">
        <f>IFERROR(__xludf.DUMMYFUNCTION("""COMPUTED_VALUE"""),"EF10")</f>
        <v>EF10</v>
      </c>
      <c r="DU1" s="4" t="str">
        <f>IFERROR(__xludf.DUMMYFUNCTION("""COMPUTED_VALUE"""),"EF11")</f>
        <v>EF11</v>
      </c>
      <c r="DV1" s="4" t="str">
        <f>IFERROR(__xludf.DUMMYFUNCTION("""COMPUTED_VALUE"""),"EF12")</f>
        <v>EF12</v>
      </c>
      <c r="DW1" s="4" t="str">
        <f>IFERROR(__xludf.DUMMYFUNCTION("""COMPUTED_VALUE"""),"EF13")</f>
        <v>EF13</v>
      </c>
      <c r="DX1" s="4" t="str">
        <f>IFERROR(__xludf.DUMMYFUNCTION("""COMPUTED_VALUE"""),"EF14")</f>
        <v>EF14</v>
      </c>
      <c r="DY1" s="4" t="str">
        <f>IFERROR(__xludf.DUMMYFUNCTION("""COMPUTED_VALUE"""),"EF15")</f>
        <v>EF15</v>
      </c>
      <c r="DZ1" s="4" t="str">
        <f>IFERROR(__xludf.DUMMYFUNCTION("""COMPUTED_VALUE"""),"EF16")</f>
        <v>EF16</v>
      </c>
      <c r="EA1" s="4" t="str">
        <f>IFERROR(__xludf.DUMMYFUNCTION("""COMPUTED_VALUE"""),"EF17")</f>
        <v>EF17</v>
      </c>
      <c r="EB1" s="4" t="str">
        <f>IFERROR(__xludf.DUMMYFUNCTION("""COMPUTED_VALUE"""),"EF18")</f>
        <v>EF18</v>
      </c>
      <c r="EC1" s="4" t="str">
        <f>IFERROR(__xludf.DUMMYFUNCTION("""COMPUTED_VALUE"""),"ENG01")</f>
        <v>ENG01</v>
      </c>
      <c r="ED1" s="4" t="str">
        <f>IFERROR(__xludf.DUMMYFUNCTION("""COMPUTED_VALUE"""),"ENG02")</f>
        <v>ENG02</v>
      </c>
      <c r="EE1" s="4" t="str">
        <f>IFERROR(__xludf.DUMMYFUNCTION("""COMPUTED_VALUE"""),"ENG03")</f>
        <v>ENG03</v>
      </c>
      <c r="EF1" s="4" t="str">
        <f>IFERROR(__xludf.DUMMYFUNCTION("""COMPUTED_VALUE"""),"ENG04")</f>
        <v>ENG04</v>
      </c>
      <c r="EG1" s="4" t="str">
        <f>IFERROR(__xludf.DUMMYFUNCTION("""COMPUTED_VALUE"""),"ENG05")</f>
        <v>ENG05</v>
      </c>
      <c r="EH1" s="4" t="str">
        <f>IFERROR(__xludf.DUMMYFUNCTION("""COMPUTED_VALUE"""),"ENG06")</f>
        <v>ENG06</v>
      </c>
      <c r="EI1" s="4" t="str">
        <f>IFERROR(__xludf.DUMMYFUNCTION("""COMPUTED_VALUE"""),"ENG07")</f>
        <v>ENG07</v>
      </c>
      <c r="EJ1" s="4" t="str">
        <f>IFERROR(__xludf.DUMMYFUNCTION("""COMPUTED_VALUE"""),"ENG08")</f>
        <v>ENG08</v>
      </c>
      <c r="EK1" s="4" t="str">
        <f>IFERROR(__xludf.DUMMYFUNCTION("""COMPUTED_VALUE"""),"ENG09")</f>
        <v>ENG09</v>
      </c>
      <c r="EL1" s="4" t="str">
        <f>IFERROR(__xludf.DUMMYFUNCTION("""COMPUTED_VALUE"""),"ENG10")</f>
        <v>ENG10</v>
      </c>
      <c r="EM1" s="4" t="str">
        <f>IFERROR(__xludf.DUMMYFUNCTION("""COMPUTED_VALUE"""),"ENG11")</f>
        <v>ENG11</v>
      </c>
      <c r="EN1" s="4" t="str">
        <f>IFERROR(__xludf.DUMMYFUNCTION("""COMPUTED_VALUE"""),"ENG12")</f>
        <v>ENG12</v>
      </c>
      <c r="EO1" s="4" t="str">
        <f>IFERROR(__xludf.DUMMYFUNCTION("""COMPUTED_VALUE"""),"ENG13")</f>
        <v>ENG13</v>
      </c>
      <c r="EP1" s="4" t="str">
        <f>IFERROR(__xludf.DUMMYFUNCTION("""COMPUTED_VALUE"""),"ENG14")</f>
        <v>ENG14</v>
      </c>
      <c r="EQ1" s="4" t="str">
        <f>IFERROR(__xludf.DUMMYFUNCTION("""COMPUTED_VALUE"""),"ENG15")</f>
        <v>ENG15</v>
      </c>
      <c r="ER1" s="4" t="str">
        <f>IFERROR(__xludf.DUMMYFUNCTION("""COMPUTED_VALUE"""),"ENG16")</f>
        <v>ENG16</v>
      </c>
      <c r="ES1" s="4" t="str">
        <f>IFERROR(__xludf.DUMMYFUNCTION("""COMPUTED_VALUE"""),"ENG17")</f>
        <v>ENG17</v>
      </c>
      <c r="ET1" s="4" t="str">
        <f>IFERROR(__xludf.DUMMYFUNCTION("""COMPUTED_VALUE"""),"ENG18")</f>
        <v>ENG18</v>
      </c>
    </row>
    <row r="2" hidden="1">
      <c r="C2" s="1" t="str">
        <f>IFERROR(__xludf.DUMMYFUNCTION("""COMPUTED_VALUE"""),"Interpretar texto verbal")</f>
        <v>Interpretar texto verbal</v>
      </c>
      <c r="D2" s="4" t="str">
        <f>IFERROR(__xludf.DUMMYFUNCTION("""COMPUTED_VALUE"""),"Identificar tema central")</f>
        <v>Identificar tema central</v>
      </c>
      <c r="E2" s="4" t="str">
        <f>IFERROR(__xludf.DUMMYFUNCTION("""COMPUTED_VALUE"""),"Localizar informações explícitas")</f>
        <v>Localizar informações explícitas</v>
      </c>
      <c r="F2" s="4" t="str">
        <f>IFERROR(__xludf.DUMMYFUNCTION("""COMPUTED_VALUE"""),"Inferir informações implícitas")</f>
        <v>Inferir informações implícitas</v>
      </c>
      <c r="G2" s="4" t="str">
        <f>IFERROR(__xludf.DUMMYFUNCTION("""COMPUTED_VALUE"""),"Diferenciar fato e opinião")</f>
        <v>Diferenciar fato e opinião</v>
      </c>
      <c r="H2" s="4" t="str">
        <f>IFERROR(__xludf.DUMMYFUNCTION("""COMPUTED_VALUE"""),"Identificar intenção do autor")</f>
        <v>Identificar intenção do autor</v>
      </c>
      <c r="I2" s="4" t="str">
        <f>IFERROR(__xludf.DUMMYFUNCTION("""COMPUTED_VALUE"""),"Reconhecer gênero textual")</f>
        <v>Reconhecer gênero textual</v>
      </c>
      <c r="J2" s="4" t="str">
        <f>IFERROR(__xludf.DUMMYFUNCTION("""COMPUTED_VALUE"""),"Analisar estrutura do texto")</f>
        <v>Analisar estrutura do texto</v>
      </c>
      <c r="K2" s="4" t="str">
        <f>IFERROR(__xludf.DUMMYFUNCTION("""COMPUTED_VALUE"""),"Interpretar textos multimodais (imagem + texto)")</f>
        <v>Interpretar textos multimodais (imagem + texto)</v>
      </c>
      <c r="L2" s="4" t="str">
        <f>IFERROR(__xludf.DUMMYFUNCTION("""COMPUTED_VALUE"""),"Comparar textos sobre o mesmo tema")</f>
        <v>Comparar textos sobre o mesmo tema</v>
      </c>
      <c r="M2" s="4" t="str">
        <f>IFERROR(__xludf.DUMMYFUNCTION("""COMPUTED_VALUE"""),"Avaliar confiabilidade da informação")</f>
        <v>Avaliar confiabilidade da informação</v>
      </c>
      <c r="N2" s="4" t="str">
        <f>IFERROR(__xludf.DUMMYFUNCTION("""COMPUTED_VALUE"""),"Identificar efeitos de sentido (ironia, humor etc.)")</f>
        <v>Identificar efeitos de sentido (ironia, humor etc.)</v>
      </c>
      <c r="O2" s="4" t="str">
        <f>IFERROR(__xludf.DUMMYFUNCTION("""COMPUTED_VALUE"""),"Reconhecer uso de conectivos")</f>
        <v>Reconhecer uso de conectivos</v>
      </c>
      <c r="P2" s="4" t="str">
        <f>IFERROR(__xludf.DUMMYFUNCTION("""COMPUTED_VALUE"""),"Identificar coesão textual")</f>
        <v>Identificar coesão textual</v>
      </c>
      <c r="Q2" s="4" t="str">
        <f>IFERROR(__xludf.DUMMYFUNCTION("""COMPUTED_VALUE"""),"Produzir texto narrativo")</f>
        <v>Produzir texto narrativo</v>
      </c>
      <c r="R2" s="4" t="str">
        <f>IFERROR(__xludf.DUMMYFUNCTION("""COMPUTED_VALUE"""),"Produzir texto opinativo")</f>
        <v>Produzir texto opinativo</v>
      </c>
      <c r="S2" s="4" t="str">
        <f>IFERROR(__xludf.DUMMYFUNCTION("""COMPUTED_VALUE"""),"Revisar e corrigir texto")</f>
        <v>Revisar e corrigir texto</v>
      </c>
      <c r="T2" s="4" t="str">
        <f>IFERROR(__xludf.DUMMYFUNCTION("""COMPUTED_VALUE"""),"Compreender hipertextos (links, navegação digital)")</f>
        <v>Compreender hipertextos (links, navegação digital)</v>
      </c>
      <c r="U2" s="4" t="str">
        <f>IFERROR(__xludf.DUMMYFUNCTION("""COMPUTED_VALUE"""),"Resolver problemas com números naturais")</f>
        <v>Resolver problemas com números naturais</v>
      </c>
      <c r="V2" s="4" t="str">
        <f>IFERROR(__xludf.DUMMYFUNCTION("""COMPUTED_VALUE"""),"Resolver problemas com frações")</f>
        <v>Resolver problemas com frações</v>
      </c>
      <c r="W2" s="4" t="str">
        <f>IFERROR(__xludf.DUMMYFUNCTION("""COMPUTED_VALUE"""),"Resolver problemas com números decimais")</f>
        <v>Resolver problemas com números decimais</v>
      </c>
      <c r="X2" s="4" t="str">
        <f>IFERROR(__xludf.DUMMYFUNCTION("""COMPUTED_VALUE"""),"Interpretar enunciados matemáticos")</f>
        <v>Interpretar enunciados matemáticos</v>
      </c>
      <c r="Y2" s="4" t="str">
        <f>IFERROR(__xludf.DUMMYFUNCTION("""COMPUTED_VALUE"""),"Realizar operações básicas (4 operações)")</f>
        <v>Realizar operações básicas (4 operações)</v>
      </c>
      <c r="Z2" s="4" t="str">
        <f>IFERROR(__xludf.DUMMYFUNCTION("""COMPUTED_VALUE"""),"Aplicar cálculo mental")</f>
        <v>Aplicar cálculo mental</v>
      </c>
      <c r="AA2" s="4" t="str">
        <f>IFERROR(__xludf.DUMMYFUNCTION("""COMPUTED_VALUE"""),"Estimar resultados")</f>
        <v>Estimar resultados</v>
      </c>
      <c r="AB2" s="4" t="str">
        <f>IFERROR(__xludf.DUMMYFUNCTION("""COMPUTED_VALUE"""),"Identificar padrões numéricos")</f>
        <v>Identificar padrões numéricos</v>
      </c>
      <c r="AC2" s="4" t="str">
        <f>IFERROR(__xludf.DUMMYFUNCTION("""COMPUTED_VALUE"""),"Introdução ao pensamento algébrico")</f>
        <v>Introdução ao pensamento algébrico</v>
      </c>
      <c r="AD2" s="4" t="str">
        <f>IFERROR(__xludf.DUMMYFUNCTION("""COMPUTED_VALUE"""),"Resolver expressões numéricas")</f>
        <v>Resolver expressões numéricas</v>
      </c>
      <c r="AE2" s="4" t="str">
        <f>IFERROR(__xludf.DUMMYFUNCTION("""COMPUTED_VALUE"""),"Trabalhar com múltiplos e divisores")</f>
        <v>Trabalhar com múltiplos e divisores</v>
      </c>
      <c r="AF2" s="4" t="str">
        <f>IFERROR(__xludf.DUMMYFUNCTION("""COMPUTED_VALUE"""),"Resolver problemas de proporcionalidade simples")</f>
        <v>Resolver problemas de proporcionalidade simples</v>
      </c>
      <c r="AG2" s="4" t="str">
        <f>IFERROR(__xludf.DUMMYFUNCTION("""COMPUTED_VALUE"""),"Interpretar gráficos e tabelas")</f>
        <v>Interpretar gráficos e tabelas</v>
      </c>
      <c r="AH2" s="4" t="str">
        <f>IFERROR(__xludf.DUMMYFUNCTION("""COMPUTED_VALUE"""),"Construir tabelas simples")</f>
        <v>Construir tabelas simples</v>
      </c>
      <c r="AI2" s="4" t="str">
        <f>IFERROR(__xludf.DUMMYFUNCTION("""COMPUTED_VALUE"""),"Resolver problemas de medida (tempo, volume, massa)")</f>
        <v>Resolver problemas de medida (tempo, volume, massa)</v>
      </c>
      <c r="AJ2" s="4" t="str">
        <f>IFERROR(__xludf.DUMMYFUNCTION("""COMPUTED_VALUE"""),"Converter unidades de medida")</f>
        <v>Converter unidades de medida</v>
      </c>
      <c r="AK2" s="4" t="str">
        <f>IFERROR(__xludf.DUMMYFUNCTION("""COMPUTED_VALUE"""),"Reconhecer formas geométricas planas")</f>
        <v>Reconhecer formas geométricas planas</v>
      </c>
      <c r="AL2" s="4" t="str">
        <f>IFERROR(__xludf.DUMMYFUNCTION("""COMPUTED_VALUE"""),"Calcular perímetro")</f>
        <v>Calcular perímetro</v>
      </c>
      <c r="AM2" s="4" t="str">
        <f>IFERROR(__xludf.DUMMYFUNCTION("""COMPUTED_VALUE"""),"Calcular área (básico)")</f>
        <v>Calcular área (básico)</v>
      </c>
      <c r="AN2" s="4" t="str">
        <f>IFERROR(__xludf.DUMMYFUNCTION("""COMPUTED_VALUE"""),"Interpretar situações do cotidiano com matemática")</f>
        <v>Interpretar situações do cotidiano com matemática</v>
      </c>
      <c r="AO2" s="4" t="str">
        <f>IFERROR(__xludf.DUMMYFUNCTION("""COMPUTED_VALUE"""),"Compreender método científico")</f>
        <v>Compreender método científico</v>
      </c>
      <c r="AP2" s="4" t="str">
        <f>IFERROR(__xludf.DUMMYFUNCTION("""COMPUTED_VALUE"""),"Formular hipóteses")</f>
        <v>Formular hipóteses</v>
      </c>
      <c r="AQ2" s="4" t="str">
        <f>IFERROR(__xludf.DUMMYFUNCTION("""COMPUTED_VALUE"""),"Interpretar experimentos")</f>
        <v>Interpretar experimentos</v>
      </c>
      <c r="AR2" s="4" t="str">
        <f>IFERROR(__xludf.DUMMYFUNCTION("""COMPUTED_VALUE"""),"Registrar observações")</f>
        <v>Registrar observações</v>
      </c>
      <c r="AS2" s="4" t="str">
        <f>IFERROR(__xludf.DUMMYFUNCTION("""COMPUTED_VALUE"""),"Identificar estados físicos da matéria")</f>
        <v>Identificar estados físicos da matéria</v>
      </c>
      <c r="AT2" s="4" t="str">
        <f>IFERROR(__xludf.DUMMYFUNCTION("""COMPUTED_VALUE"""),"Compreender mudanças de estado")</f>
        <v>Compreender mudanças de estado</v>
      </c>
      <c r="AU2" s="4" t="str">
        <f>IFERROR(__xludf.DUMMYFUNCTION("""COMPUTED_VALUE"""),"Identificar propriedades da matéria")</f>
        <v>Identificar propriedades da matéria</v>
      </c>
      <c r="AV2" s="4" t="str">
        <f>IFERROR(__xludf.DUMMYFUNCTION("""COMPUTED_VALUE"""),"Entender mistura e separação de materiais")</f>
        <v>Entender mistura e separação de materiais</v>
      </c>
      <c r="AW2" s="4" t="str">
        <f>IFERROR(__xludf.DUMMYFUNCTION("""COMPUTED_VALUE"""),"Compreender energia e suas formas")</f>
        <v>Compreender energia e suas formas</v>
      </c>
      <c r="AX2" s="4" t="str">
        <f>IFERROR(__xludf.DUMMYFUNCTION("""COMPUTED_VALUE"""),"Identificar fontes de energia")</f>
        <v>Identificar fontes de energia</v>
      </c>
      <c r="AY2" s="4" t="str">
        <f>IFERROR(__xludf.DUMMYFUNCTION("""COMPUTED_VALUE"""),"Entender sistema solar")</f>
        <v>Entender sistema solar</v>
      </c>
      <c r="AZ2" s="4" t="str">
        <f>IFERROR(__xludf.DUMMYFUNCTION("""COMPUTED_VALUE"""),"Compreender planeta Terra")</f>
        <v>Compreender planeta Terra</v>
      </c>
      <c r="BA2" s="4" t="str">
        <f>IFERROR(__xludf.DUMMYFUNCTION("""COMPUTED_VALUE"""),"Identificar camadas da Terra")</f>
        <v>Identificar camadas da Terra</v>
      </c>
      <c r="BB2" s="4" t="str">
        <f>IFERROR(__xludf.DUMMYFUNCTION("""COMPUTED_VALUE"""),"Compreender fenômenos naturais")</f>
        <v>Compreender fenômenos naturais</v>
      </c>
      <c r="BC2" s="4" t="str">
        <f>IFERROR(__xludf.DUMMYFUNCTION("""COMPUTED_VALUE"""),"Entender ciclos naturais (água, etc.)")</f>
        <v>Entender ciclos naturais (água, etc.)</v>
      </c>
      <c r="BD2" s="4" t="str">
        <f>IFERROR(__xludf.DUMMYFUNCTION("""COMPUTED_VALUE"""),"Compreender ecossistemas")</f>
        <v>Compreender ecossistemas</v>
      </c>
      <c r="BE2" s="4" t="str">
        <f>IFERROR(__xludf.DUMMYFUNCTION("""COMPUTED_VALUE"""),"Identificar relações ecológicas")</f>
        <v>Identificar relações ecológicas</v>
      </c>
      <c r="BF2" s="4" t="str">
        <f>IFERROR(__xludf.DUMMYFUNCTION("""COMPUTED_VALUE"""),"Entender impacto ambiental")</f>
        <v>Entender impacto ambiental</v>
      </c>
      <c r="BG2" s="4" t="str">
        <f>IFERROR(__xludf.DUMMYFUNCTION("""COMPUTED_VALUE"""),"Compreender sustentabilidade")</f>
        <v>Compreender sustentabilidade</v>
      </c>
      <c r="BH2" s="4" t="str">
        <f>IFERROR(__xludf.DUMMYFUNCTION("""COMPUTED_VALUE"""),"Relacionar ciência ao cotidiano")</f>
        <v>Relacionar ciência ao cotidiano</v>
      </c>
      <c r="BI2" s="4" t="str">
        <f>IFERROR(__xludf.DUMMYFUNCTION("""COMPUTED_VALUE"""),"Compreender conceito de espaço geográfico")</f>
        <v>Compreender conceito de espaço geográfico</v>
      </c>
      <c r="BJ2" s="4" t="str">
        <f>IFERROR(__xludf.DUMMYFUNCTION("""COMPUTED_VALUE"""),"Identificar paisagens naturais e humanizadas")</f>
        <v>Identificar paisagens naturais e humanizadas</v>
      </c>
      <c r="BK2" s="4" t="str">
        <f>IFERROR(__xludf.DUMMYFUNCTION("""COMPUTED_VALUE"""),"Diferenciar tempo e clima")</f>
        <v>Diferenciar tempo e clima</v>
      </c>
      <c r="BL2" s="4" t="str">
        <f>IFERROR(__xludf.DUMMYFUNCTION("""COMPUTED_VALUE"""),"Identificar tipos de clima")</f>
        <v>Identificar tipos de clima</v>
      </c>
      <c r="BM2" s="4" t="str">
        <f>IFERROR(__xludf.DUMMYFUNCTION("""COMPUTED_VALUE"""),"Compreender relevo terrestre")</f>
        <v>Compreender relevo terrestre</v>
      </c>
      <c r="BN2" s="4" t="str">
        <f>IFERROR(__xludf.DUMMYFUNCTION("""COMPUTED_VALUE"""),"Identificar recursos naturais")</f>
        <v>Identificar recursos naturais</v>
      </c>
      <c r="BO2" s="4" t="str">
        <f>IFERROR(__xludf.DUMMYFUNCTION("""COMPUTED_VALUE"""),"Analisar uso dos recursos naturais")</f>
        <v>Analisar uso dos recursos naturais</v>
      </c>
      <c r="BP2" s="4" t="str">
        <f>IFERROR(__xludf.DUMMYFUNCTION("""COMPUTED_VALUE"""),"Compreender impacto ambiental humano")</f>
        <v>Compreender impacto ambiental humano</v>
      </c>
      <c r="BQ2" s="4" t="str">
        <f>IFERROR(__xludf.DUMMYFUNCTION("""COMPUTED_VALUE"""),"Identificar problemas ambientais")</f>
        <v>Identificar problemas ambientais</v>
      </c>
      <c r="BR2" s="4" t="str">
        <f>IFERROR(__xludf.DUMMYFUNCTION("""COMPUTED_VALUE"""),"Entender hidrografia básica")</f>
        <v>Entender hidrografia básica</v>
      </c>
      <c r="BS2" s="4" t="str">
        <f>IFERROR(__xludf.DUMMYFUNCTION("""COMPUTED_VALUE"""),"Interpretar mapas simples")</f>
        <v>Interpretar mapas simples</v>
      </c>
      <c r="BT2" s="4" t="str">
        <f>IFERROR(__xludf.DUMMYFUNCTION("""COMPUTED_VALUE"""),"Localizar-se no espaço (orientação)")</f>
        <v>Localizar-se no espaço (orientação)</v>
      </c>
      <c r="BU2" s="4" t="str">
        <f>IFERROR(__xludf.DUMMYFUNCTION("""COMPUTED_VALUE"""),"Compreender urbanização")</f>
        <v>Compreender urbanização</v>
      </c>
      <c r="BV2" s="4" t="str">
        <f>IFERROR(__xludf.DUMMYFUNCTION("""COMPUTED_VALUE"""),"Analisar transformação do espaço urbano")</f>
        <v>Analisar transformação do espaço urbano</v>
      </c>
      <c r="BW2" s="4" t="str">
        <f>IFERROR(__xludf.DUMMYFUNCTION("""COMPUTED_VALUE"""),"Entender atividades econômicas básicas")</f>
        <v>Entender atividades econômicas básicas</v>
      </c>
      <c r="BX2" s="4" t="str">
        <f>IFERROR(__xludf.DUMMYFUNCTION("""COMPUTED_VALUE"""),"Relacionar sociedade e natureza")</f>
        <v>Relacionar sociedade e natureza</v>
      </c>
      <c r="BY2" s="4" t="str">
        <f>IFERROR(__xludf.DUMMYFUNCTION("""COMPUTED_VALUE"""),"Comparar diferentes regiões")</f>
        <v>Comparar diferentes regiões</v>
      </c>
      <c r="BZ2" s="4" t="str">
        <f>IFERROR(__xludf.DUMMYFUNCTION("""COMPUTED_VALUE"""),"Interpretar gráficos geográficos")</f>
        <v>Interpretar gráficos geográficos</v>
      </c>
      <c r="CA2" s="4" t="str">
        <f>IFERROR(__xludf.DUMMYFUNCTION("""COMPUTED_VALUE"""),"Compreender noção de tempo histórico")</f>
        <v>Compreender noção de tempo histórico</v>
      </c>
      <c r="CB2" s="4" t="str">
        <f>IFERROR(__xludf.DUMMYFUNCTION("""COMPUTED_VALUE"""),"Identificar diferentes períodos históricos")</f>
        <v>Identificar diferentes períodos históricos</v>
      </c>
      <c r="CC2" s="4" t="str">
        <f>IFERROR(__xludf.DUMMYFUNCTION("""COMPUTED_VALUE"""),"Comparar sociedades antigas")</f>
        <v>Comparar sociedades antigas</v>
      </c>
      <c r="CD2" s="4" t="str">
        <f>IFERROR(__xludf.DUMMYFUNCTION("""COMPUTED_VALUE"""),"Identificar fontes históricas")</f>
        <v>Identificar fontes históricas</v>
      </c>
      <c r="CE2" s="4" t="str">
        <f>IFERROR(__xludf.DUMMYFUNCTION("""COMPUTED_VALUE"""),"Interpretar documentos históricos")</f>
        <v>Interpretar documentos históricos</v>
      </c>
      <c r="CF2" s="4" t="str">
        <f>IFERROR(__xludf.DUMMYFUNCTION("""COMPUTED_VALUE"""),"Analisar diferentes versões de um fato")</f>
        <v>Analisar diferentes versões de um fato</v>
      </c>
      <c r="CG2" s="4" t="str">
        <f>IFERROR(__xludf.DUMMYFUNCTION("""COMPUTED_VALUE"""),"Entender cultura e diversidade")</f>
        <v>Entender cultura e diversidade</v>
      </c>
      <c r="CH2" s="4" t="str">
        <f>IFERROR(__xludf.DUMMYFUNCTION("""COMPUTED_VALUE"""),"Identificar formas de organização social")</f>
        <v>Identificar formas de organização social</v>
      </c>
      <c r="CI2" s="4" t="str">
        <f>IFERROR(__xludf.DUMMYFUNCTION("""COMPUTED_VALUE"""),"Compreender origem das civilizações")</f>
        <v>Compreender origem das civilizações</v>
      </c>
      <c r="CJ2" s="4" t="str">
        <f>IFERROR(__xludf.DUMMYFUNCTION("""COMPUTED_VALUE"""),"Relacionar passado e presente")</f>
        <v>Relacionar passado e presente</v>
      </c>
      <c r="CK2" s="4" t="str">
        <f>IFERROR(__xludf.DUMMYFUNCTION("""COMPUTED_VALUE"""),"Identificar mudanças e permanências")</f>
        <v>Identificar mudanças e permanências</v>
      </c>
      <c r="CL2" s="4" t="str">
        <f>IFERROR(__xludf.DUMMYFUNCTION("""COMPUTED_VALUE"""),"Compreender processos históricos")</f>
        <v>Compreender processos históricos</v>
      </c>
      <c r="CM2" s="4" t="str">
        <f>IFERROR(__xludf.DUMMYFUNCTION("""COMPUTED_VALUE"""),"Reconhecer diferentes culturas")</f>
        <v>Reconhecer diferentes culturas</v>
      </c>
      <c r="CN2" s="4" t="str">
        <f>IFERROR(__xludf.DUMMYFUNCTION("""COMPUTED_VALUE"""),"Analisar relações de poder")</f>
        <v>Analisar relações de poder</v>
      </c>
      <c r="CO2" s="4" t="str">
        <f>IFERROR(__xludf.DUMMYFUNCTION("""COMPUTED_VALUE"""),"Interpretar narrativas históricas")</f>
        <v>Interpretar narrativas históricas</v>
      </c>
      <c r="CP2" s="4" t="str">
        <f>IFERROR(__xludf.DUMMYFUNCTION("""COMPUTED_VALUE"""),"Comparar modos de vida")</f>
        <v>Comparar modos de vida</v>
      </c>
      <c r="CQ2" s="4" t="str">
        <f>IFERROR(__xludf.DUMMYFUNCTION("""COMPUTED_VALUE"""),"Analisar conflitos históricos")</f>
        <v>Analisar conflitos históricos</v>
      </c>
      <c r="CR2" s="4" t="str">
        <f>IFERROR(__xludf.DUMMYFUNCTION("""COMPUTED_VALUE"""),"Desenvolver pensamento crítico histórico")</f>
        <v>Desenvolver pensamento crítico histórico</v>
      </c>
      <c r="CS2" s="4" t="str">
        <f>IFERROR(__xludf.DUMMYFUNCTION("""COMPUTED_VALUE"""),"Reconhecer diferentes linguagens artísticas (visual, música, teatro, dança)")</f>
        <v>Reconhecer diferentes linguagens artísticas (visual, música, teatro, dança)</v>
      </c>
      <c r="CT2" s="4" t="str">
        <f>IFERROR(__xludf.DUMMYFUNCTION("""COMPUTED_VALUE"""),"Identificar elementos visuais (cor, forma, linha)")</f>
        <v>Identificar elementos visuais (cor, forma, linha)</v>
      </c>
      <c r="CU2" s="4" t="str">
        <f>IFERROR(__xludf.DUMMYFUNCTION("""COMPUTED_VALUE"""),"Analisar obras de arte")</f>
        <v>Analisar obras de arte</v>
      </c>
      <c r="CV2" s="4" t="str">
        <f>IFERROR(__xludf.DUMMYFUNCTION("""COMPUTED_VALUE"""),"Interpretar significado de obras")</f>
        <v>Interpretar significado de obras</v>
      </c>
      <c r="CW2" s="4" t="str">
        <f>IFERROR(__xludf.DUMMYFUNCTION("""COMPUTED_VALUE"""),"Reconhecer contexto cultural da arte")</f>
        <v>Reconhecer contexto cultural da arte</v>
      </c>
      <c r="CX2" s="4" t="str">
        <f>IFERROR(__xludf.DUMMYFUNCTION("""COMPUTED_VALUE"""),"Identificar estilos artísticos")</f>
        <v>Identificar estilos artísticos</v>
      </c>
      <c r="CY2" s="4" t="str">
        <f>IFERROR(__xludf.DUMMYFUNCTION("""COMPUTED_VALUE"""),"Comparar obras de diferentes épocas")</f>
        <v>Comparar obras de diferentes épocas</v>
      </c>
      <c r="CZ2" s="4" t="str">
        <f>IFERROR(__xludf.DUMMYFUNCTION("""COMPUTED_VALUE"""),"Expressar ideias por meio de desenho")</f>
        <v>Expressar ideias por meio de desenho</v>
      </c>
      <c r="DA2" s="4" t="str">
        <f>IFERROR(__xludf.DUMMYFUNCTION("""COMPUTED_VALUE"""),"Produzir trabalhos artísticos")</f>
        <v>Produzir trabalhos artísticos</v>
      </c>
      <c r="DB2" s="4" t="str">
        <f>IFERROR(__xludf.DUMMYFUNCTION("""COMPUTED_VALUE"""),"Experimentar materiais e técnicas")</f>
        <v>Experimentar materiais e técnicas</v>
      </c>
      <c r="DC2" s="4" t="str">
        <f>IFERROR(__xludf.DUMMYFUNCTION("""COMPUTED_VALUE"""),"Criar composições visuais")</f>
        <v>Criar composições visuais</v>
      </c>
      <c r="DD2" s="4" t="str">
        <f>IFERROR(__xludf.DUMMYFUNCTION("""COMPUTED_VALUE"""),"Desenvolver criatividade")</f>
        <v>Desenvolver criatividade</v>
      </c>
      <c r="DE2" s="4" t="str">
        <f>IFERROR(__xludf.DUMMYFUNCTION("""COMPUTED_VALUE"""),"Reconhecer manifestações culturais brasileiras")</f>
        <v>Reconhecer manifestações culturais brasileiras</v>
      </c>
      <c r="DF2" s="4" t="str">
        <f>IFERROR(__xludf.DUMMYFUNCTION("""COMPUTED_VALUE"""),"Relacionar arte e sociedade")</f>
        <v>Relacionar arte e sociedade</v>
      </c>
      <c r="DG2" s="4" t="str">
        <f>IFERROR(__xludf.DUMMYFUNCTION("""COMPUTED_VALUE"""),"Interpretar música (ritmo, melodia)")</f>
        <v>Interpretar música (ritmo, melodia)</v>
      </c>
      <c r="DH2" s="4" t="str">
        <f>IFERROR(__xludf.DUMMYFUNCTION("""COMPUTED_VALUE"""),"Participar de atividades artísticas")</f>
        <v>Participar de atividades artísticas</v>
      </c>
      <c r="DI2" s="4" t="str">
        <f>IFERROR(__xludf.DUMMYFUNCTION("""COMPUTED_VALUE"""),"Avaliar produções artísticas")</f>
        <v>Avaliar produções artísticas</v>
      </c>
      <c r="DJ2" s="4" t="str">
        <f>IFERROR(__xludf.DUMMYFUNCTION("""COMPUTED_VALUE"""),"Comunicar ideias por linguagem artística")</f>
        <v>Comunicar ideias por linguagem artística</v>
      </c>
      <c r="DK2" s="4" t="str">
        <f>IFERROR(__xludf.DUMMYFUNCTION("""COMPUTED_VALUE"""),"Compreender o funcionamento do corpo")</f>
        <v>Compreender o funcionamento do corpo</v>
      </c>
      <c r="DL2" s="4" t="str">
        <f>IFERROR(__xludf.DUMMYFUNCTION("""COMPUTED_VALUE"""),"Identificar capacidades físicas (força, resistência, etc.)")</f>
        <v>Identificar capacidades físicas (força, resistência, etc.)</v>
      </c>
      <c r="DM2" s="4" t="str">
        <f>IFERROR(__xludf.DUMMYFUNCTION("""COMPUTED_VALUE"""),"Praticar atividades físicas básicas")</f>
        <v>Praticar atividades físicas básicas</v>
      </c>
      <c r="DN2" s="4" t="str">
        <f>IFERROR(__xludf.DUMMYFUNCTION("""COMPUTED_VALUE"""),"Diferenciar atividade física e exercício")</f>
        <v>Diferenciar atividade física e exercício</v>
      </c>
      <c r="DO2" s="4" t="str">
        <f>IFERROR(__xludf.DUMMYFUNCTION("""COMPUTED_VALUE"""),"Conhecer regras de esportes")</f>
        <v>Conhecer regras de esportes</v>
      </c>
      <c r="DP2" s="4" t="str">
        <f>IFERROR(__xludf.DUMMYFUNCTION("""COMPUTED_VALUE"""),"Aplicar regras em jogos")</f>
        <v>Aplicar regras em jogos</v>
      </c>
      <c r="DQ2" s="4" t="str">
        <f>IFERROR(__xludf.DUMMYFUNCTION("""COMPUTED_VALUE"""),"Desenvolver coordenação motora")</f>
        <v>Desenvolver coordenação motora</v>
      </c>
      <c r="DR2" s="4" t="str">
        <f>IFERROR(__xludf.DUMMYFUNCTION("""COMPUTED_VALUE"""),"Trabalhar em equipe")</f>
        <v>Trabalhar em equipe</v>
      </c>
      <c r="DS2" s="4" t="str">
        <f>IFERROR(__xludf.DUMMYFUNCTION("""COMPUTED_VALUE"""),"Respeitar regras e colegas")</f>
        <v>Respeitar regras e colegas</v>
      </c>
      <c r="DT2" s="4" t="str">
        <f>IFERROR(__xludf.DUMMYFUNCTION("""COMPUTED_VALUE"""),"Compreender importância da atividade física")</f>
        <v>Compreender importância da atividade física</v>
      </c>
      <c r="DU2" s="4" t="str">
        <f>IFERROR(__xludf.DUMMYFUNCTION("""COMPUTED_VALUE"""),"Relacionar exercício e saúde")</f>
        <v>Relacionar exercício e saúde</v>
      </c>
      <c r="DV2" s="4" t="str">
        <f>IFERROR(__xludf.DUMMYFUNCTION("""COMPUTED_VALUE"""),"Desenvolver equilíbrio")</f>
        <v>Desenvolver equilíbrio</v>
      </c>
      <c r="DW2" s="4" t="str">
        <f>IFERROR(__xludf.DUMMYFUNCTION("""COMPUTED_VALUE"""),"Desenvolver agilidade")</f>
        <v>Desenvolver agilidade</v>
      </c>
      <c r="DX2" s="4" t="str">
        <f>IFERROR(__xludf.DUMMYFUNCTION("""COMPUTED_VALUE"""),"Participar de jogos cooperativos")</f>
        <v>Participar de jogos cooperativos</v>
      </c>
      <c r="DY2" s="4" t="str">
        <f>IFERROR(__xludf.DUMMYFUNCTION("""COMPUTED_VALUE"""),"Conhecer esportes variados")</f>
        <v>Conhecer esportes variados</v>
      </c>
      <c r="DZ2" s="4" t="str">
        <f>IFERROR(__xludf.DUMMYFUNCTION("""COMPUTED_VALUE"""),"Desenvolver hábitos saudáveis")</f>
        <v>Desenvolver hábitos saudáveis</v>
      </c>
      <c r="EA2" s="4" t="str">
        <f>IFERROR(__xludf.DUMMYFUNCTION("""COMPUTED_VALUE"""),"Compreender limites do corpo")</f>
        <v>Compreender limites do corpo</v>
      </c>
      <c r="EB2" s="4" t="str">
        <f>IFERROR(__xludf.DUMMYFUNCTION("""COMPUTED_VALUE"""),"Prevenir lesões básicas")</f>
        <v>Prevenir lesões básicas</v>
      </c>
      <c r="EC2" s="4" t="str">
        <f>IFERROR(__xludf.DUMMYFUNCTION("""COMPUTED_VALUE"""),"Compreender vocabulário básico de inglês")</f>
        <v>Compreender vocabulário básico de inglês</v>
      </c>
      <c r="ED2" s="4" t="str">
        <f>IFERROR(__xludf.DUMMYFUNCTION("""COMPUTED_VALUE"""),"Identificar palavras em contexto em inglês")</f>
        <v>Identificar palavras em contexto em inglês</v>
      </c>
      <c r="EE2" s="4" t="str">
        <f>IFERROR(__xludf.DUMMYFUNCTION("""COMPUTED_VALUE"""),"Interpretar textos simples em inglês")</f>
        <v>Interpretar textos simples em inglês</v>
      </c>
      <c r="EF2" s="4" t="str">
        <f>IFERROR(__xludf.DUMMYFUNCTION("""COMPUTED_VALUE"""),"Compreender instruções básicas em inglês")</f>
        <v>Compreender instruções básicas em inglês</v>
      </c>
      <c r="EG2" s="4" t="str">
        <f>IFERROR(__xludf.DUMMYFUNCTION("""COMPUTED_VALUE"""),"Identificar informações em textos curtos em inglês")</f>
        <v>Identificar informações em textos curtos em inglês</v>
      </c>
      <c r="EH2" s="4" t="str">
        <f>IFERROR(__xludf.DUMMYFUNCTION("""COMPUTED_VALUE"""),"Relacionar imagem e palavra em inglês")</f>
        <v>Relacionar imagem e palavra em inglês</v>
      </c>
      <c r="EI2" s="4" t="str">
        <f>IFERROR(__xludf.DUMMYFUNCTION("""COMPUTED_VALUE"""),"Reconhecer estruturas simples (verbo to be, etc.) em inglês")</f>
        <v>Reconhecer estruturas simples (verbo to be, etc.) em inglês</v>
      </c>
      <c r="EJ2" s="4" t="str">
        <f>IFERROR(__xludf.DUMMYFUNCTION("""COMPUTED_VALUE"""),"Formar frases simples em inglês")</f>
        <v>Formar frases simples em inglês</v>
      </c>
      <c r="EK2" s="4" t="str">
        <f>IFERROR(__xludf.DUMMYFUNCTION("""COMPUTED_VALUE"""),"Produzir frases escritas básicas em inglês")</f>
        <v>Produzir frases escritas básicas em inglês</v>
      </c>
      <c r="EL2" s="4" t="str">
        <f>IFERROR(__xludf.DUMMYFUNCTION("""COMPUTED_VALUE"""),"Compreender diálogos simples em inglês")</f>
        <v>Compreender diálogos simples em inglês</v>
      </c>
      <c r="EM2" s="4" t="str">
        <f>IFERROR(__xludf.DUMMYFUNCTION("""COMPUTED_VALUE"""),"Identificar tempo verbal básico em inglês")</f>
        <v>Identificar tempo verbal básico em inglês</v>
      </c>
      <c r="EN2" s="4" t="str">
        <f>IFERROR(__xludf.DUMMYFUNCTION("""COMPUTED_VALUE"""),"Utilizar pronomes básicos em inglês")</f>
        <v>Utilizar pronomes básicos em inglês</v>
      </c>
      <c r="EO2" s="4" t="str">
        <f>IFERROR(__xludf.DUMMYFUNCTION("""COMPUTED_VALUE"""),"Compreender perguntas simples em inglês")</f>
        <v>Compreender perguntas simples em inglês</v>
      </c>
      <c r="EP2" s="4" t="str">
        <f>IFERROR(__xludf.DUMMYFUNCTION("""COMPUTED_VALUE"""),"Responder perguntas simples em inglês")</f>
        <v>Responder perguntas simples em inglês</v>
      </c>
      <c r="EQ2" s="4" t="str">
        <f>IFERROR(__xludf.DUMMYFUNCTION("""COMPUTED_VALUE"""),"Desenvolver escuta (listening) em inglês")</f>
        <v>Desenvolver escuta (listening) em inglês</v>
      </c>
      <c r="ER2" s="4" t="str">
        <f>IFERROR(__xludf.DUMMYFUNCTION("""COMPUTED_VALUE"""),"Desenvolver leitura (reading) em inglês")</f>
        <v>Desenvolver leitura (reading) em inglês</v>
      </c>
      <c r="ES2" s="4" t="str">
        <f>IFERROR(__xludf.DUMMYFUNCTION("""COMPUTED_VALUE"""),"Desenvolver escrita (writing) em inglês")</f>
        <v>Desenvolver escrita (writing) em inglês</v>
      </c>
      <c r="ET2" s="4" t="str">
        <f>IFERROR(__xludf.DUMMYFUNCTION("""COMPUTED_VALUE"""),"Desenvolver fala básica (speaking) em inglês")</f>
        <v>Desenvolver fala básica (speaking) em inglês</v>
      </c>
    </row>
    <row r="3">
      <c r="A3" s="1" t="str">
        <f t="array" ref="A3:B1002">'Questões'!A1:B1000</f>
        <v>Questão 1</v>
      </c>
      <c r="B3" s="4" t="s">
        <v>3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  <c r="H3" s="1">
        <v>0.0</v>
      </c>
      <c r="I3" s="1">
        <v>1.0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0.0</v>
      </c>
      <c r="P3" s="1">
        <v>1.0</v>
      </c>
      <c r="Q3" s="1">
        <v>0.0</v>
      </c>
      <c r="R3" s="1">
        <v>1.0</v>
      </c>
      <c r="S3" s="1">
        <v>0.0</v>
      </c>
      <c r="T3" s="1">
        <v>0.0</v>
      </c>
      <c r="U3" s="1">
        <v>1.0</v>
      </c>
      <c r="V3" s="1">
        <v>1.0</v>
      </c>
      <c r="W3" s="1">
        <v>1.0</v>
      </c>
      <c r="X3" s="1">
        <v>1.0</v>
      </c>
      <c r="Y3" s="1">
        <v>1.0</v>
      </c>
      <c r="Z3" s="1">
        <v>1.0</v>
      </c>
      <c r="AA3" s="1">
        <v>0.0</v>
      </c>
      <c r="AB3" s="1">
        <v>0.0</v>
      </c>
      <c r="AC3" s="1">
        <v>1.0</v>
      </c>
      <c r="AD3" s="1">
        <v>1.0</v>
      </c>
      <c r="AE3" s="1">
        <v>1.0</v>
      </c>
      <c r="AF3" s="1">
        <v>1.0</v>
      </c>
      <c r="AG3" s="1">
        <v>1.0</v>
      </c>
      <c r="AH3" s="1">
        <v>0.0</v>
      </c>
      <c r="AI3" s="1">
        <v>1.0</v>
      </c>
      <c r="AJ3" s="1">
        <v>1.0</v>
      </c>
      <c r="AK3" s="1">
        <v>0.0</v>
      </c>
      <c r="AL3" s="1">
        <v>0.0</v>
      </c>
      <c r="AM3" s="1">
        <v>0.0</v>
      </c>
      <c r="AN3" s="1">
        <v>1.0</v>
      </c>
      <c r="AO3" s="1">
        <v>0.0</v>
      </c>
      <c r="AP3" s="1">
        <v>1.0</v>
      </c>
      <c r="AQ3" s="1">
        <v>0.0</v>
      </c>
      <c r="AR3" s="1">
        <v>1.0</v>
      </c>
      <c r="AS3" s="1">
        <v>1.0</v>
      </c>
      <c r="AT3" s="1">
        <v>1.0</v>
      </c>
      <c r="AU3" s="1">
        <v>1.0</v>
      </c>
      <c r="AV3" s="1">
        <v>0.0</v>
      </c>
      <c r="AW3" s="1">
        <v>0.0</v>
      </c>
      <c r="AX3" s="1">
        <v>0.0</v>
      </c>
      <c r="AY3" s="1">
        <v>0.0</v>
      </c>
      <c r="AZ3" s="1">
        <v>1.0</v>
      </c>
      <c r="BA3" s="1">
        <v>0.0</v>
      </c>
      <c r="BB3" s="1">
        <v>1.0</v>
      </c>
      <c r="BC3" s="1">
        <v>1.0</v>
      </c>
      <c r="BD3" s="1">
        <v>0.0</v>
      </c>
      <c r="BE3" s="1">
        <v>1.0</v>
      </c>
      <c r="BF3" s="1">
        <v>0.0</v>
      </c>
      <c r="BG3" s="1">
        <v>1.0</v>
      </c>
      <c r="BH3" s="1">
        <v>1.0</v>
      </c>
      <c r="BI3" s="1">
        <v>0.0</v>
      </c>
      <c r="BJ3" s="1">
        <v>1.0</v>
      </c>
      <c r="BK3" s="1">
        <v>1.0</v>
      </c>
      <c r="BL3" s="1">
        <v>1.0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1.0</v>
      </c>
      <c r="BS3" s="1">
        <v>1.0</v>
      </c>
      <c r="BT3" s="1">
        <v>0.0</v>
      </c>
      <c r="BU3" s="1">
        <v>0.0</v>
      </c>
      <c r="BV3" s="1">
        <v>1.0</v>
      </c>
      <c r="BW3" s="1">
        <v>0.0</v>
      </c>
      <c r="BX3" s="1">
        <v>0.0</v>
      </c>
      <c r="BY3" s="1">
        <v>1.0</v>
      </c>
      <c r="BZ3" s="1">
        <v>0.0</v>
      </c>
      <c r="CA3" s="1">
        <v>0.0</v>
      </c>
      <c r="CB3" s="1">
        <v>1.0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1.0</v>
      </c>
      <c r="CK3" s="1">
        <v>1.0</v>
      </c>
      <c r="CL3" s="1">
        <v>1.0</v>
      </c>
      <c r="CM3" s="1">
        <v>0.0</v>
      </c>
      <c r="CN3" s="1">
        <v>1.0</v>
      </c>
      <c r="CO3" s="1">
        <v>0.0</v>
      </c>
      <c r="CP3" s="1">
        <v>0.0</v>
      </c>
      <c r="CQ3" s="1">
        <v>0.0</v>
      </c>
      <c r="CR3" s="1">
        <v>1.0</v>
      </c>
      <c r="CS3" s="1">
        <v>0.0</v>
      </c>
      <c r="CT3" s="1">
        <v>1.0</v>
      </c>
      <c r="CU3" s="1">
        <v>1.0</v>
      </c>
      <c r="CV3" s="1">
        <v>1.0</v>
      </c>
      <c r="CW3" s="1">
        <v>0.0</v>
      </c>
      <c r="CX3" s="1">
        <v>1.0</v>
      </c>
      <c r="CY3" s="1">
        <v>1.0</v>
      </c>
      <c r="CZ3" s="1">
        <v>0.0</v>
      </c>
      <c r="DA3" s="1">
        <v>1.0</v>
      </c>
      <c r="DB3" s="1">
        <v>1.0</v>
      </c>
      <c r="DC3" s="1">
        <v>1.0</v>
      </c>
      <c r="DD3" s="1">
        <v>1.0</v>
      </c>
      <c r="DE3" s="1">
        <v>0.0</v>
      </c>
      <c r="DF3" s="1">
        <v>1.0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1.0</v>
      </c>
      <c r="DM3" s="1">
        <v>1.0</v>
      </c>
      <c r="DN3" s="1">
        <v>0.0</v>
      </c>
      <c r="DO3" s="1">
        <v>0.0</v>
      </c>
      <c r="DP3" s="1">
        <v>0.0</v>
      </c>
      <c r="DQ3" s="1">
        <v>1.0</v>
      </c>
      <c r="DR3" s="1">
        <v>0.0</v>
      </c>
      <c r="DS3" s="1">
        <v>1.0</v>
      </c>
      <c r="DT3" s="1">
        <v>0.0</v>
      </c>
      <c r="DU3" s="1">
        <v>0.0</v>
      </c>
      <c r="DV3" s="1">
        <v>1.0</v>
      </c>
      <c r="DW3" s="1">
        <v>0.0</v>
      </c>
      <c r="DX3" s="1">
        <v>0.0</v>
      </c>
      <c r="DY3" s="1">
        <v>1.0</v>
      </c>
      <c r="DZ3" s="1">
        <v>1.0</v>
      </c>
      <c r="EA3" s="1">
        <v>1.0</v>
      </c>
      <c r="EB3" s="1">
        <v>1.0</v>
      </c>
      <c r="EC3" s="1">
        <v>1.0</v>
      </c>
      <c r="ED3" s="1">
        <v>1.0</v>
      </c>
      <c r="EE3" s="1">
        <v>1.0</v>
      </c>
      <c r="EF3" s="1">
        <v>0.0</v>
      </c>
      <c r="EG3" s="1">
        <v>0.0</v>
      </c>
      <c r="EH3" s="1">
        <v>1.0</v>
      </c>
      <c r="EI3" s="1">
        <v>0.0</v>
      </c>
      <c r="EJ3" s="1">
        <v>1.0</v>
      </c>
      <c r="EK3" s="1">
        <v>0.0</v>
      </c>
      <c r="EL3" s="1">
        <v>0.0</v>
      </c>
      <c r="EM3" s="1">
        <v>0.0</v>
      </c>
      <c r="EN3" s="1">
        <v>1.0</v>
      </c>
      <c r="EO3" s="1">
        <v>1.0</v>
      </c>
      <c r="EP3" s="1">
        <v>1.0</v>
      </c>
      <c r="EQ3" s="1">
        <v>1.0</v>
      </c>
      <c r="ER3" s="1">
        <v>0.0</v>
      </c>
      <c r="ES3" s="1">
        <v>1.0</v>
      </c>
      <c r="ET3" s="1">
        <v>0.0</v>
      </c>
    </row>
    <row r="4">
      <c r="A4" s="4" t="s">
        <v>4</v>
      </c>
      <c r="B4" s="4" t="s">
        <v>3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1.0</v>
      </c>
      <c r="T4" s="1">
        <v>0.0</v>
      </c>
      <c r="U4" s="1">
        <v>0.0</v>
      </c>
      <c r="V4" s="1">
        <v>0.0</v>
      </c>
      <c r="W4" s="1">
        <v>1.0</v>
      </c>
      <c r="X4" s="1">
        <v>1.0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1.0</v>
      </c>
      <c r="AE4" s="1">
        <v>1.0</v>
      </c>
      <c r="AF4" s="1">
        <v>1.0</v>
      </c>
      <c r="AG4" s="1">
        <v>0.0</v>
      </c>
      <c r="AH4" s="1">
        <v>1.0</v>
      </c>
      <c r="AI4" s="1">
        <v>1.0</v>
      </c>
      <c r="AJ4" s="1">
        <v>1.0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1.0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1.0</v>
      </c>
      <c r="BM4" s="1">
        <v>1.0</v>
      </c>
      <c r="BN4" s="1">
        <v>0.0</v>
      </c>
      <c r="BO4" s="1">
        <v>1.0</v>
      </c>
      <c r="BP4" s="1">
        <v>1.0</v>
      </c>
      <c r="BQ4" s="1">
        <v>0.0</v>
      </c>
      <c r="BR4" s="1">
        <v>1.0</v>
      </c>
      <c r="BS4" s="1">
        <v>0.0</v>
      </c>
      <c r="BT4" s="1">
        <v>1.0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1.0</v>
      </c>
      <c r="CE4" s="1">
        <v>0.0</v>
      </c>
      <c r="CF4" s="1">
        <v>0.0</v>
      </c>
      <c r="CG4" s="1">
        <v>0.0</v>
      </c>
      <c r="CH4" s="1">
        <v>1.0</v>
      </c>
      <c r="CI4" s="1">
        <v>1.0</v>
      </c>
      <c r="CJ4" s="1">
        <v>1.0</v>
      </c>
      <c r="CK4" s="1">
        <v>1.0</v>
      </c>
      <c r="CL4" s="1">
        <v>1.0</v>
      </c>
      <c r="CM4" s="1">
        <v>0.0</v>
      </c>
      <c r="CN4" s="1">
        <v>1.0</v>
      </c>
      <c r="CO4" s="1">
        <v>1.0</v>
      </c>
      <c r="CP4" s="1">
        <v>0.0</v>
      </c>
      <c r="CQ4" s="1">
        <v>1.0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1.0</v>
      </c>
      <c r="DA4" s="1">
        <v>0.0</v>
      </c>
      <c r="DB4" s="1">
        <v>1.0</v>
      </c>
      <c r="DC4" s="1">
        <v>1.0</v>
      </c>
      <c r="DD4" s="1">
        <v>1.0</v>
      </c>
      <c r="DE4" s="1">
        <v>0.0</v>
      </c>
      <c r="DF4" s="1">
        <v>1.0</v>
      </c>
      <c r="DG4" s="1">
        <v>0.0</v>
      </c>
      <c r="DH4" s="1">
        <v>1.0</v>
      </c>
      <c r="DI4" s="1">
        <v>0.0</v>
      </c>
      <c r="DJ4" s="1">
        <v>1.0</v>
      </c>
      <c r="DK4" s="1">
        <v>1.0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1.0</v>
      </c>
      <c r="DR4" s="1">
        <v>0.0</v>
      </c>
      <c r="DS4" s="1">
        <v>0.0</v>
      </c>
      <c r="DT4" s="1">
        <v>1.0</v>
      </c>
      <c r="DU4" s="1">
        <v>0.0</v>
      </c>
      <c r="DV4" s="1">
        <v>1.0</v>
      </c>
      <c r="DW4" s="1">
        <v>0.0</v>
      </c>
      <c r="DX4" s="1">
        <v>1.0</v>
      </c>
      <c r="DY4" s="1">
        <v>1.0</v>
      </c>
      <c r="DZ4" s="1">
        <v>1.0</v>
      </c>
      <c r="EA4" s="1">
        <v>1.0</v>
      </c>
      <c r="EB4" s="1">
        <v>0.0</v>
      </c>
      <c r="EC4" s="1">
        <v>0.0</v>
      </c>
      <c r="ED4" s="1">
        <v>0.0</v>
      </c>
      <c r="EE4" s="1">
        <v>1.0</v>
      </c>
      <c r="EF4" s="1">
        <v>1.0</v>
      </c>
      <c r="EG4" s="1">
        <v>1.0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1.0</v>
      </c>
      <c r="EN4" s="1">
        <v>1.0</v>
      </c>
      <c r="EO4" s="1">
        <v>1.0</v>
      </c>
      <c r="EP4" s="1">
        <v>1.0</v>
      </c>
      <c r="EQ4" s="1">
        <v>0.0</v>
      </c>
      <c r="ER4" s="1">
        <v>0.0</v>
      </c>
      <c r="ES4" s="1">
        <v>1.0</v>
      </c>
      <c r="ET4" s="1">
        <v>0.0</v>
      </c>
    </row>
    <row r="5">
      <c r="A5" s="4" t="s">
        <v>5</v>
      </c>
      <c r="B5" s="4" t="s">
        <v>3</v>
      </c>
      <c r="C5" s="1">
        <v>1.0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1.0</v>
      </c>
      <c r="W5" s="1">
        <v>1.0</v>
      </c>
      <c r="X5" s="1">
        <v>1.0</v>
      </c>
      <c r="Y5" s="1">
        <v>1.0</v>
      </c>
      <c r="Z5" s="1">
        <v>1.0</v>
      </c>
      <c r="AA5" s="1">
        <v>1.0</v>
      </c>
      <c r="AB5" s="1">
        <v>0.0</v>
      </c>
      <c r="AC5" s="1">
        <v>1.0</v>
      </c>
      <c r="AD5" s="1">
        <v>1.0</v>
      </c>
      <c r="AE5" s="1">
        <v>0.0</v>
      </c>
      <c r="AF5" s="1">
        <v>1.0</v>
      </c>
      <c r="AG5" s="1">
        <v>0.0</v>
      </c>
      <c r="AH5" s="1">
        <v>0.0</v>
      </c>
      <c r="AI5" s="1">
        <v>1.0</v>
      </c>
      <c r="AJ5" s="1">
        <v>1.0</v>
      </c>
      <c r="AK5" s="1">
        <v>0.0</v>
      </c>
      <c r="AL5" s="1">
        <v>0.0</v>
      </c>
      <c r="AM5" s="1">
        <v>0.0</v>
      </c>
      <c r="AN5" s="1">
        <v>1.0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1.0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1.0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1.0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1.0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1.0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</row>
    <row r="6">
      <c r="A6" s="4" t="s">
        <v>6</v>
      </c>
      <c r="B6" s="2" t="s">
        <v>11</v>
      </c>
      <c r="C6" s="1">
        <v>1.0</v>
      </c>
      <c r="D6" s="1">
        <v>0.0</v>
      </c>
      <c r="E6" s="1">
        <v>1.0</v>
      </c>
      <c r="F6" s="1">
        <v>0.0</v>
      </c>
      <c r="G6" s="1">
        <v>0.0</v>
      </c>
      <c r="H6" s="1">
        <v>0.0</v>
      </c>
      <c r="I6" s="1">
        <v>1.0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1.0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>
      <c r="A7" s="4" t="s">
        <v>7</v>
      </c>
      <c r="B7" s="2" t="s">
        <v>13</v>
      </c>
      <c r="C7" s="1">
        <v>1.0</v>
      </c>
      <c r="D7" s="1">
        <v>0.0</v>
      </c>
      <c r="E7" s="1">
        <v>1.0</v>
      </c>
      <c r="F7" s="1">
        <v>1.0</v>
      </c>
      <c r="G7" s="1">
        <v>0.0</v>
      </c>
      <c r="H7" s="1">
        <v>0.0</v>
      </c>
      <c r="I7" s="1">
        <v>0.0</v>
      </c>
      <c r="J7" s="1">
        <v>1.0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1.0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>
      <c r="A8" s="4" t="s">
        <v>8</v>
      </c>
      <c r="B8" s="3" t="s">
        <v>15</v>
      </c>
      <c r="C8" s="1">
        <v>0.0</v>
      </c>
      <c r="D8" s="1">
        <v>0.0</v>
      </c>
      <c r="E8" s="1">
        <v>1.0</v>
      </c>
      <c r="F8" s="1">
        <v>0.0</v>
      </c>
      <c r="G8" s="1">
        <v>0.0</v>
      </c>
      <c r="H8" s="1">
        <v>0.0</v>
      </c>
      <c r="I8" s="1">
        <v>0.0</v>
      </c>
      <c r="J8" s="1">
        <v>1.0</v>
      </c>
      <c r="K8" s="1">
        <v>0.0</v>
      </c>
      <c r="L8" s="1">
        <v>0.0</v>
      </c>
      <c r="M8" s="1">
        <v>0.0</v>
      </c>
      <c r="N8" s="1">
        <v>0.0</v>
      </c>
      <c r="O8" s="1">
        <v>1.0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A9" s="4" t="s">
        <v>9</v>
      </c>
      <c r="B9" s="4" t="s">
        <v>16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1.0</v>
      </c>
      <c r="AA9" s="1">
        <v>1.0</v>
      </c>
      <c r="AB9" s="1">
        <v>0.0</v>
      </c>
      <c r="AC9" s="1">
        <v>0.0</v>
      </c>
      <c r="AD9" s="1">
        <v>0.0</v>
      </c>
      <c r="AE9" s="1">
        <v>1.0</v>
      </c>
      <c r="AF9" s="1">
        <v>0.0</v>
      </c>
      <c r="AG9" s="1">
        <v>0.0</v>
      </c>
      <c r="AH9" s="1">
        <v>0.0</v>
      </c>
      <c r="AI9" s="1">
        <v>1.0</v>
      </c>
      <c r="AJ9" s="1">
        <v>0.0</v>
      </c>
      <c r="AK9" s="1">
        <v>0.0</v>
      </c>
      <c r="AL9" s="1">
        <v>0.0</v>
      </c>
      <c r="AM9" s="1">
        <v>0.0</v>
      </c>
      <c r="AN9" s="1">
        <v>1.0</v>
      </c>
      <c r="AO9" s="1">
        <v>0.0</v>
      </c>
      <c r="AP9" s="1">
        <v>1.0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1.0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1.0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1.0</v>
      </c>
      <c r="CL9" s="1">
        <v>0.0</v>
      </c>
      <c r="CM9" s="1">
        <v>0.0</v>
      </c>
      <c r="CN9" s="1">
        <v>1.0</v>
      </c>
      <c r="CO9" s="1">
        <v>1.0</v>
      </c>
      <c r="CP9" s="1">
        <v>0.0</v>
      </c>
      <c r="CQ9" s="1">
        <v>0.0</v>
      </c>
      <c r="CR9" s="1">
        <v>0.0</v>
      </c>
      <c r="CS9" s="1">
        <v>1.0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1.0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1.0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1.0</v>
      </c>
      <c r="EE9" s="1">
        <v>0.0</v>
      </c>
      <c r="EF9" s="1">
        <v>0.0</v>
      </c>
      <c r="EG9" s="1">
        <v>0.0</v>
      </c>
      <c r="EH9" s="1">
        <v>1.0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1.0</v>
      </c>
      <c r="EO9" s="1">
        <v>0.0</v>
      </c>
      <c r="EP9" s="1">
        <v>0.0</v>
      </c>
      <c r="EQ9" s="1">
        <v>0.0</v>
      </c>
      <c r="ER9" s="1">
        <v>0.0</v>
      </c>
      <c r="ES9" s="1">
        <v>1.0</v>
      </c>
      <c r="ET9" s="1">
        <v>0.0</v>
      </c>
    </row>
    <row r="10">
      <c r="A10" s="4" t="s">
        <v>10</v>
      </c>
      <c r="B10" s="4" t="s">
        <v>17</v>
      </c>
      <c r="C10" s="1">
        <v>1.0</v>
      </c>
      <c r="D10" s="1">
        <v>0.0</v>
      </c>
      <c r="E10" s="1">
        <v>1.0</v>
      </c>
      <c r="F10" s="1">
        <v>0.0</v>
      </c>
      <c r="G10" s="1">
        <v>1.0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1.0</v>
      </c>
      <c r="S10" s="1">
        <v>1.0</v>
      </c>
      <c r="T10" s="1">
        <v>0.0</v>
      </c>
      <c r="U10" s="1">
        <v>1.0</v>
      </c>
      <c r="V10" s="1">
        <v>0.0</v>
      </c>
      <c r="W10" s="1">
        <v>0.0</v>
      </c>
      <c r="X10" s="1">
        <v>1.0</v>
      </c>
      <c r="Y10" s="1">
        <v>1.0</v>
      </c>
      <c r="Z10" s="1">
        <v>0.0</v>
      </c>
      <c r="AA10" s="1">
        <v>1.0</v>
      </c>
      <c r="AB10" s="1">
        <v>1.0</v>
      </c>
      <c r="AC10" s="1">
        <v>1.0</v>
      </c>
      <c r="AD10" s="1">
        <v>0.0</v>
      </c>
      <c r="AE10" s="1">
        <v>1.0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1.0</v>
      </c>
      <c r="AM10" s="1">
        <v>1.0</v>
      </c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1" t="s">
        <v>4</v>
      </c>
      <c r="B2" s="1" t="s">
        <v>3</v>
      </c>
    </row>
    <row r="3">
      <c r="A3" s="1" t="s">
        <v>5</v>
      </c>
      <c r="B3" s="1" t="s">
        <v>3</v>
      </c>
    </row>
    <row r="4">
      <c r="A4" s="1" t="s">
        <v>6</v>
      </c>
      <c r="B4" s="2" t="s">
        <v>11</v>
      </c>
    </row>
    <row r="5">
      <c r="A5" s="1" t="s">
        <v>7</v>
      </c>
      <c r="B5" s="2" t="s">
        <v>13</v>
      </c>
    </row>
    <row r="6">
      <c r="A6" s="1" t="s">
        <v>8</v>
      </c>
      <c r="B6" s="3" t="s">
        <v>15</v>
      </c>
    </row>
    <row r="7">
      <c r="A7" s="1" t="s">
        <v>9</v>
      </c>
      <c r="B7" s="1" t="s">
        <v>16</v>
      </c>
    </row>
    <row r="8">
      <c r="A8" s="1" t="s">
        <v>10</v>
      </c>
      <c r="B8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1" t="s">
        <v>12</v>
      </c>
      <c r="B2" s="1" t="s">
        <v>14</v>
      </c>
      <c r="C2" s="1">
        <v>2.0</v>
      </c>
      <c r="D2" s="1">
        <v>1.0</v>
      </c>
      <c r="E2" s="1">
        <v>2.0</v>
      </c>
      <c r="F2" s="1">
        <v>2.0</v>
      </c>
      <c r="G2" s="1">
        <v>2.0</v>
      </c>
      <c r="H2" s="1">
        <v>0.0</v>
      </c>
      <c r="I2" s="1">
        <v>1.0</v>
      </c>
      <c r="J2" s="1">
        <v>1.0</v>
      </c>
    </row>
    <row r="3">
      <c r="A3" s="1" t="s">
        <v>18</v>
      </c>
      <c r="B3" s="1" t="s">
        <v>19</v>
      </c>
      <c r="C3" s="1">
        <v>1.0</v>
      </c>
      <c r="D3" s="1">
        <v>0.0</v>
      </c>
      <c r="E3" s="1">
        <v>2.0</v>
      </c>
      <c r="F3" s="1">
        <v>2.0</v>
      </c>
      <c r="G3" s="1">
        <v>1.0</v>
      </c>
      <c r="H3" s="1">
        <v>2.0</v>
      </c>
      <c r="I3" s="1">
        <v>0.0</v>
      </c>
      <c r="J3" s="1">
        <v>2.0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tr">
        <f>IFERROR(__xludf.DUMMYFUNCTION("TRANSPOSE({
  FILTER('Habilidades Portugues'!A:B, 'Habilidades Portugues'!A:A &lt;&gt; """");
  FILTER('Habilidades Matemática'!A:B, 'Habilidades Matemática'!A:A &lt;&gt; """");
  FILTER('Habilidades Ciências'!A:B, 'Habilidades Ciências'!A:A &lt;&gt; """");
  FILTER('Habil"&amp;"idades Geografia'!A:B, 'Habilidades Geografia'!A:A &lt;&gt; """");
  FILTER('Habilidades História'!A:B, 'Habilidades História'!A:A &lt;&gt; """");
  FILTER('Habilidades Artes'!A:B, 'Habilidades Artes'!A:A &lt;&gt; """");
  FILTER('Habilidades Ed.física'!A:B, 'Habilidades E"&amp;"d.física'!A:A &lt;&gt; """");
  FILTER('Habilidades Inglês'!A:B, 'Habilidades Inglês'!A:A &lt;&gt; """")
})"),"LP01")</f>
        <v>LP01</v>
      </c>
      <c r="D1" s="4" t="str">
        <f>IFERROR(__xludf.DUMMYFUNCTION("""COMPUTED_VALUE"""),"LP02")</f>
        <v>LP02</v>
      </c>
      <c r="E1" s="4" t="str">
        <f>IFERROR(__xludf.DUMMYFUNCTION("""COMPUTED_VALUE"""),"LP03")</f>
        <v>LP03</v>
      </c>
      <c r="F1" s="4" t="str">
        <f>IFERROR(__xludf.DUMMYFUNCTION("""COMPUTED_VALUE"""),"LP04")</f>
        <v>LP04</v>
      </c>
      <c r="G1" s="4" t="str">
        <f>IFERROR(__xludf.DUMMYFUNCTION("""COMPUTED_VALUE"""),"LP05")</f>
        <v>LP05</v>
      </c>
      <c r="H1" s="4" t="str">
        <f>IFERROR(__xludf.DUMMYFUNCTION("""COMPUTED_VALUE"""),"LP06")</f>
        <v>LP06</v>
      </c>
      <c r="I1" s="4" t="str">
        <f>IFERROR(__xludf.DUMMYFUNCTION("""COMPUTED_VALUE"""),"LP07")</f>
        <v>LP07</v>
      </c>
      <c r="J1" s="4" t="str">
        <f>IFERROR(__xludf.DUMMYFUNCTION("""COMPUTED_VALUE"""),"LP08")</f>
        <v>LP08</v>
      </c>
      <c r="K1" s="4" t="str">
        <f>IFERROR(__xludf.DUMMYFUNCTION("""COMPUTED_VALUE"""),"LP09")</f>
        <v>LP09</v>
      </c>
      <c r="L1" s="4" t="str">
        <f>IFERROR(__xludf.DUMMYFUNCTION("""COMPUTED_VALUE"""),"LP10")</f>
        <v>LP10</v>
      </c>
      <c r="M1" s="4" t="str">
        <f>IFERROR(__xludf.DUMMYFUNCTION("""COMPUTED_VALUE"""),"LP11")</f>
        <v>LP11</v>
      </c>
      <c r="N1" s="4" t="str">
        <f>IFERROR(__xludf.DUMMYFUNCTION("""COMPUTED_VALUE"""),"LP12")</f>
        <v>LP12</v>
      </c>
      <c r="O1" s="4" t="str">
        <f>IFERROR(__xludf.DUMMYFUNCTION("""COMPUTED_VALUE"""),"LP13")</f>
        <v>LP13</v>
      </c>
      <c r="P1" s="4" t="str">
        <f>IFERROR(__xludf.DUMMYFUNCTION("""COMPUTED_VALUE"""),"LP14")</f>
        <v>LP14</v>
      </c>
      <c r="Q1" s="4" t="str">
        <f>IFERROR(__xludf.DUMMYFUNCTION("""COMPUTED_VALUE"""),"LP15")</f>
        <v>LP15</v>
      </c>
      <c r="R1" s="4" t="str">
        <f>IFERROR(__xludf.DUMMYFUNCTION("""COMPUTED_VALUE"""),"LP16")</f>
        <v>LP16</v>
      </c>
      <c r="S1" s="4" t="str">
        <f>IFERROR(__xludf.DUMMYFUNCTION("""COMPUTED_VALUE"""),"LP17")</f>
        <v>LP17</v>
      </c>
      <c r="T1" s="4" t="str">
        <f>IFERROR(__xludf.DUMMYFUNCTION("""COMPUTED_VALUE"""),"LP18")</f>
        <v>LP18</v>
      </c>
      <c r="U1" s="4" t="str">
        <f>IFERROR(__xludf.DUMMYFUNCTION("""COMPUTED_VALUE"""),"MT01")</f>
        <v>MT01</v>
      </c>
      <c r="V1" s="4" t="str">
        <f>IFERROR(__xludf.DUMMYFUNCTION("""COMPUTED_VALUE"""),"MT02")</f>
        <v>MT02</v>
      </c>
      <c r="W1" s="4" t="str">
        <f>IFERROR(__xludf.DUMMYFUNCTION("""COMPUTED_VALUE"""),"MT03")</f>
        <v>MT03</v>
      </c>
      <c r="X1" s="4" t="str">
        <f>IFERROR(__xludf.DUMMYFUNCTION("""COMPUTED_VALUE"""),"MT04")</f>
        <v>MT04</v>
      </c>
      <c r="Y1" s="4" t="str">
        <f>IFERROR(__xludf.DUMMYFUNCTION("""COMPUTED_VALUE"""),"MT05")</f>
        <v>MT05</v>
      </c>
      <c r="Z1" s="4" t="str">
        <f>IFERROR(__xludf.DUMMYFUNCTION("""COMPUTED_VALUE"""),"MT06")</f>
        <v>MT06</v>
      </c>
      <c r="AA1" s="4" t="str">
        <f>IFERROR(__xludf.DUMMYFUNCTION("""COMPUTED_VALUE"""),"MT07")</f>
        <v>MT07</v>
      </c>
      <c r="AB1" s="4" t="str">
        <f>IFERROR(__xludf.DUMMYFUNCTION("""COMPUTED_VALUE"""),"MT08")</f>
        <v>MT08</v>
      </c>
      <c r="AC1" s="4" t="str">
        <f>IFERROR(__xludf.DUMMYFUNCTION("""COMPUTED_VALUE"""),"MT09")</f>
        <v>MT09</v>
      </c>
      <c r="AD1" s="4" t="str">
        <f>IFERROR(__xludf.DUMMYFUNCTION("""COMPUTED_VALUE"""),"MT10")</f>
        <v>MT10</v>
      </c>
      <c r="AE1" s="4" t="str">
        <f>IFERROR(__xludf.DUMMYFUNCTION("""COMPUTED_VALUE"""),"MT11")</f>
        <v>MT11</v>
      </c>
      <c r="AF1" s="4" t="str">
        <f>IFERROR(__xludf.DUMMYFUNCTION("""COMPUTED_VALUE"""),"MT12")</f>
        <v>MT12</v>
      </c>
      <c r="AG1" s="4" t="str">
        <f>IFERROR(__xludf.DUMMYFUNCTION("""COMPUTED_VALUE"""),"MT13")</f>
        <v>MT13</v>
      </c>
      <c r="AH1" s="4" t="str">
        <f>IFERROR(__xludf.DUMMYFUNCTION("""COMPUTED_VALUE"""),"MT14")</f>
        <v>MT14</v>
      </c>
      <c r="AI1" s="4" t="str">
        <f>IFERROR(__xludf.DUMMYFUNCTION("""COMPUTED_VALUE"""),"MT15")</f>
        <v>MT15</v>
      </c>
      <c r="AJ1" s="4" t="str">
        <f>IFERROR(__xludf.DUMMYFUNCTION("""COMPUTED_VALUE"""),"MT16")</f>
        <v>MT16</v>
      </c>
      <c r="AK1" s="4" t="str">
        <f>IFERROR(__xludf.DUMMYFUNCTION("""COMPUTED_VALUE"""),"MT17")</f>
        <v>MT17</v>
      </c>
      <c r="AL1" s="4" t="str">
        <f>IFERROR(__xludf.DUMMYFUNCTION("""COMPUTED_VALUE"""),"MT18")</f>
        <v>MT18</v>
      </c>
      <c r="AM1" s="4" t="str">
        <f>IFERROR(__xludf.DUMMYFUNCTION("""COMPUTED_VALUE"""),"MT19")</f>
        <v>MT19</v>
      </c>
      <c r="AN1" s="4" t="str">
        <f>IFERROR(__xludf.DUMMYFUNCTION("""COMPUTED_VALUE"""),"MT20")</f>
        <v>MT20</v>
      </c>
      <c r="AO1" s="4" t="str">
        <f>IFERROR(__xludf.DUMMYFUNCTION("""COMPUTED_VALUE"""),"SCI01")</f>
        <v>SCI01</v>
      </c>
      <c r="AP1" s="4" t="str">
        <f>IFERROR(__xludf.DUMMYFUNCTION("""COMPUTED_VALUE"""),"SCI02")</f>
        <v>SCI02</v>
      </c>
      <c r="AQ1" s="4" t="str">
        <f>IFERROR(__xludf.DUMMYFUNCTION("""COMPUTED_VALUE"""),"SCI03")</f>
        <v>SCI03</v>
      </c>
      <c r="AR1" s="4" t="str">
        <f>IFERROR(__xludf.DUMMYFUNCTION("""COMPUTED_VALUE"""),"SCI04")</f>
        <v>SCI04</v>
      </c>
      <c r="AS1" s="4" t="str">
        <f>IFERROR(__xludf.DUMMYFUNCTION("""COMPUTED_VALUE"""),"SCI05")</f>
        <v>SCI05</v>
      </c>
      <c r="AT1" s="4" t="str">
        <f>IFERROR(__xludf.DUMMYFUNCTION("""COMPUTED_VALUE"""),"SCI06")</f>
        <v>SCI06</v>
      </c>
      <c r="AU1" s="4" t="str">
        <f>IFERROR(__xludf.DUMMYFUNCTION("""COMPUTED_VALUE"""),"SCI07")</f>
        <v>SCI07</v>
      </c>
      <c r="AV1" s="4" t="str">
        <f>IFERROR(__xludf.DUMMYFUNCTION("""COMPUTED_VALUE"""),"SCI08")</f>
        <v>SCI08</v>
      </c>
      <c r="AW1" s="4" t="str">
        <f>IFERROR(__xludf.DUMMYFUNCTION("""COMPUTED_VALUE"""),"SCI09")</f>
        <v>SCI09</v>
      </c>
      <c r="AX1" s="4" t="str">
        <f>IFERROR(__xludf.DUMMYFUNCTION("""COMPUTED_VALUE"""),"SCI10")</f>
        <v>SCI10</v>
      </c>
      <c r="AY1" s="4" t="str">
        <f>IFERROR(__xludf.DUMMYFUNCTION("""COMPUTED_VALUE"""),"SCI11")</f>
        <v>SCI11</v>
      </c>
      <c r="AZ1" s="4" t="str">
        <f>IFERROR(__xludf.DUMMYFUNCTION("""COMPUTED_VALUE"""),"SCI12")</f>
        <v>SCI12</v>
      </c>
      <c r="BA1" s="4" t="str">
        <f>IFERROR(__xludf.DUMMYFUNCTION("""COMPUTED_VALUE"""),"SCI13")</f>
        <v>SCI13</v>
      </c>
      <c r="BB1" s="4" t="str">
        <f>IFERROR(__xludf.DUMMYFUNCTION("""COMPUTED_VALUE"""),"SCI14")</f>
        <v>SCI14</v>
      </c>
      <c r="BC1" s="4" t="str">
        <f>IFERROR(__xludf.DUMMYFUNCTION("""COMPUTED_VALUE"""),"SCI15")</f>
        <v>SCI15</v>
      </c>
      <c r="BD1" s="4" t="str">
        <f>IFERROR(__xludf.DUMMYFUNCTION("""COMPUTED_VALUE"""),"SCI16")</f>
        <v>SCI16</v>
      </c>
      <c r="BE1" s="4" t="str">
        <f>IFERROR(__xludf.DUMMYFUNCTION("""COMPUTED_VALUE"""),"SCI17")</f>
        <v>SCI17</v>
      </c>
      <c r="BF1" s="4" t="str">
        <f>IFERROR(__xludf.DUMMYFUNCTION("""COMPUTED_VALUE"""),"SCI18")</f>
        <v>SCI18</v>
      </c>
      <c r="BG1" s="4" t="str">
        <f>IFERROR(__xludf.DUMMYFUNCTION("""COMPUTED_VALUE"""),"SCI19")</f>
        <v>SCI19</v>
      </c>
      <c r="BH1" s="4" t="str">
        <f>IFERROR(__xludf.DUMMYFUNCTION("""COMPUTED_VALUE"""),"SCI20")</f>
        <v>SCI20</v>
      </c>
      <c r="BI1" s="4" t="str">
        <f>IFERROR(__xludf.DUMMYFUNCTION("""COMPUTED_VALUE"""),"GEO01")</f>
        <v>GEO01</v>
      </c>
      <c r="BJ1" s="4" t="str">
        <f>IFERROR(__xludf.DUMMYFUNCTION("""COMPUTED_VALUE"""),"GEO02")</f>
        <v>GEO02</v>
      </c>
      <c r="BK1" s="4" t="str">
        <f>IFERROR(__xludf.DUMMYFUNCTION("""COMPUTED_VALUE"""),"GEO03")</f>
        <v>GEO03</v>
      </c>
      <c r="BL1" s="4" t="str">
        <f>IFERROR(__xludf.DUMMYFUNCTION("""COMPUTED_VALUE"""),"GEO04")</f>
        <v>GEO04</v>
      </c>
      <c r="BM1" s="4" t="str">
        <f>IFERROR(__xludf.DUMMYFUNCTION("""COMPUTED_VALUE"""),"GEO05")</f>
        <v>GEO05</v>
      </c>
      <c r="BN1" s="4" t="str">
        <f>IFERROR(__xludf.DUMMYFUNCTION("""COMPUTED_VALUE"""),"GEO06")</f>
        <v>GEO06</v>
      </c>
      <c r="BO1" s="4" t="str">
        <f>IFERROR(__xludf.DUMMYFUNCTION("""COMPUTED_VALUE"""),"GEO07")</f>
        <v>GEO07</v>
      </c>
      <c r="BP1" s="4" t="str">
        <f>IFERROR(__xludf.DUMMYFUNCTION("""COMPUTED_VALUE"""),"GEO08")</f>
        <v>GEO08</v>
      </c>
      <c r="BQ1" s="4" t="str">
        <f>IFERROR(__xludf.DUMMYFUNCTION("""COMPUTED_VALUE"""),"GEO09")</f>
        <v>GEO09</v>
      </c>
      <c r="BR1" s="4" t="str">
        <f>IFERROR(__xludf.DUMMYFUNCTION("""COMPUTED_VALUE"""),"GEO10")</f>
        <v>GEO10</v>
      </c>
      <c r="BS1" s="4" t="str">
        <f>IFERROR(__xludf.DUMMYFUNCTION("""COMPUTED_VALUE"""),"GEO11")</f>
        <v>GEO11</v>
      </c>
      <c r="BT1" s="4" t="str">
        <f>IFERROR(__xludf.DUMMYFUNCTION("""COMPUTED_VALUE"""),"GEO12")</f>
        <v>GEO12</v>
      </c>
      <c r="BU1" s="4" t="str">
        <f>IFERROR(__xludf.DUMMYFUNCTION("""COMPUTED_VALUE"""),"GEO13")</f>
        <v>GEO13</v>
      </c>
      <c r="BV1" s="4" t="str">
        <f>IFERROR(__xludf.DUMMYFUNCTION("""COMPUTED_VALUE"""),"GEO14")</f>
        <v>GEO14</v>
      </c>
      <c r="BW1" s="4" t="str">
        <f>IFERROR(__xludf.DUMMYFUNCTION("""COMPUTED_VALUE"""),"GEO15")</f>
        <v>GEO15</v>
      </c>
      <c r="BX1" s="4" t="str">
        <f>IFERROR(__xludf.DUMMYFUNCTION("""COMPUTED_VALUE"""),"GEO16")</f>
        <v>GEO16</v>
      </c>
      <c r="BY1" s="4" t="str">
        <f>IFERROR(__xludf.DUMMYFUNCTION("""COMPUTED_VALUE"""),"GEO17")</f>
        <v>GEO17</v>
      </c>
      <c r="BZ1" s="4" t="str">
        <f>IFERROR(__xludf.DUMMYFUNCTION("""COMPUTED_VALUE"""),"GEO18")</f>
        <v>GEO18</v>
      </c>
      <c r="CA1" s="4" t="str">
        <f>IFERROR(__xludf.DUMMYFUNCTION("""COMPUTED_VALUE"""),"HIS01")</f>
        <v>HIS01</v>
      </c>
      <c r="CB1" s="4" t="str">
        <f>IFERROR(__xludf.DUMMYFUNCTION("""COMPUTED_VALUE"""),"HIS02")</f>
        <v>HIS02</v>
      </c>
      <c r="CC1" s="4" t="str">
        <f>IFERROR(__xludf.DUMMYFUNCTION("""COMPUTED_VALUE"""),"HIS03")</f>
        <v>HIS03</v>
      </c>
      <c r="CD1" s="4" t="str">
        <f>IFERROR(__xludf.DUMMYFUNCTION("""COMPUTED_VALUE"""),"HIS04")</f>
        <v>HIS04</v>
      </c>
      <c r="CE1" s="4" t="str">
        <f>IFERROR(__xludf.DUMMYFUNCTION("""COMPUTED_VALUE"""),"HIS05")</f>
        <v>HIS05</v>
      </c>
      <c r="CF1" s="4" t="str">
        <f>IFERROR(__xludf.DUMMYFUNCTION("""COMPUTED_VALUE"""),"HIS06")</f>
        <v>HIS06</v>
      </c>
      <c r="CG1" s="4" t="str">
        <f>IFERROR(__xludf.DUMMYFUNCTION("""COMPUTED_VALUE"""),"HIS07")</f>
        <v>HIS07</v>
      </c>
      <c r="CH1" s="4" t="str">
        <f>IFERROR(__xludf.DUMMYFUNCTION("""COMPUTED_VALUE"""),"HIS08")</f>
        <v>HIS08</v>
      </c>
      <c r="CI1" s="4" t="str">
        <f>IFERROR(__xludf.DUMMYFUNCTION("""COMPUTED_VALUE"""),"HIS09")</f>
        <v>HIS09</v>
      </c>
      <c r="CJ1" s="4" t="str">
        <f>IFERROR(__xludf.DUMMYFUNCTION("""COMPUTED_VALUE"""),"HIS10")</f>
        <v>HIS10</v>
      </c>
      <c r="CK1" s="4" t="str">
        <f>IFERROR(__xludf.DUMMYFUNCTION("""COMPUTED_VALUE"""),"HIS11")</f>
        <v>HIS11</v>
      </c>
      <c r="CL1" s="4" t="str">
        <f>IFERROR(__xludf.DUMMYFUNCTION("""COMPUTED_VALUE"""),"HIS12")</f>
        <v>HIS12</v>
      </c>
      <c r="CM1" s="4" t="str">
        <f>IFERROR(__xludf.DUMMYFUNCTION("""COMPUTED_VALUE"""),"HIS13")</f>
        <v>HIS13</v>
      </c>
      <c r="CN1" s="4" t="str">
        <f>IFERROR(__xludf.DUMMYFUNCTION("""COMPUTED_VALUE"""),"HIS14")</f>
        <v>HIS14</v>
      </c>
      <c r="CO1" s="4" t="str">
        <f>IFERROR(__xludf.DUMMYFUNCTION("""COMPUTED_VALUE"""),"HIS15")</f>
        <v>HIS15</v>
      </c>
      <c r="CP1" s="4" t="str">
        <f>IFERROR(__xludf.DUMMYFUNCTION("""COMPUTED_VALUE"""),"HIS16")</f>
        <v>HIS16</v>
      </c>
      <c r="CQ1" s="4" t="str">
        <f>IFERROR(__xludf.DUMMYFUNCTION("""COMPUTED_VALUE"""),"HIS17")</f>
        <v>HIS17</v>
      </c>
      <c r="CR1" s="4" t="str">
        <f>IFERROR(__xludf.DUMMYFUNCTION("""COMPUTED_VALUE"""),"HIS18")</f>
        <v>HIS18</v>
      </c>
      <c r="CS1" s="4" t="str">
        <f>IFERROR(__xludf.DUMMYFUNCTION("""COMPUTED_VALUE"""),"ART01")</f>
        <v>ART01</v>
      </c>
      <c r="CT1" s="4" t="str">
        <f>IFERROR(__xludf.DUMMYFUNCTION("""COMPUTED_VALUE"""),"ART02")</f>
        <v>ART02</v>
      </c>
      <c r="CU1" s="4" t="str">
        <f>IFERROR(__xludf.DUMMYFUNCTION("""COMPUTED_VALUE"""),"ART03")</f>
        <v>ART03</v>
      </c>
      <c r="CV1" s="4" t="str">
        <f>IFERROR(__xludf.DUMMYFUNCTION("""COMPUTED_VALUE"""),"ART04")</f>
        <v>ART04</v>
      </c>
      <c r="CW1" s="4" t="str">
        <f>IFERROR(__xludf.DUMMYFUNCTION("""COMPUTED_VALUE"""),"ART05")</f>
        <v>ART05</v>
      </c>
      <c r="CX1" s="4" t="str">
        <f>IFERROR(__xludf.DUMMYFUNCTION("""COMPUTED_VALUE"""),"ART06")</f>
        <v>ART06</v>
      </c>
      <c r="CY1" s="4" t="str">
        <f>IFERROR(__xludf.DUMMYFUNCTION("""COMPUTED_VALUE"""),"ART07")</f>
        <v>ART07</v>
      </c>
      <c r="CZ1" s="4" t="str">
        <f>IFERROR(__xludf.DUMMYFUNCTION("""COMPUTED_VALUE"""),"ART08")</f>
        <v>ART08</v>
      </c>
      <c r="DA1" s="4" t="str">
        <f>IFERROR(__xludf.DUMMYFUNCTION("""COMPUTED_VALUE"""),"ART09")</f>
        <v>ART09</v>
      </c>
      <c r="DB1" s="4" t="str">
        <f>IFERROR(__xludf.DUMMYFUNCTION("""COMPUTED_VALUE"""),"ART10")</f>
        <v>ART10</v>
      </c>
      <c r="DC1" s="4" t="str">
        <f>IFERROR(__xludf.DUMMYFUNCTION("""COMPUTED_VALUE"""),"ART11")</f>
        <v>ART11</v>
      </c>
      <c r="DD1" s="4" t="str">
        <f>IFERROR(__xludf.DUMMYFUNCTION("""COMPUTED_VALUE"""),"ART12")</f>
        <v>ART12</v>
      </c>
      <c r="DE1" s="4" t="str">
        <f>IFERROR(__xludf.DUMMYFUNCTION("""COMPUTED_VALUE"""),"ART13")</f>
        <v>ART13</v>
      </c>
      <c r="DF1" s="4" t="str">
        <f>IFERROR(__xludf.DUMMYFUNCTION("""COMPUTED_VALUE"""),"ART14")</f>
        <v>ART14</v>
      </c>
      <c r="DG1" s="4" t="str">
        <f>IFERROR(__xludf.DUMMYFUNCTION("""COMPUTED_VALUE"""),"ART15")</f>
        <v>ART15</v>
      </c>
      <c r="DH1" s="4" t="str">
        <f>IFERROR(__xludf.DUMMYFUNCTION("""COMPUTED_VALUE"""),"ART16")</f>
        <v>ART16</v>
      </c>
      <c r="DI1" s="4" t="str">
        <f>IFERROR(__xludf.DUMMYFUNCTION("""COMPUTED_VALUE"""),"ART17")</f>
        <v>ART17</v>
      </c>
      <c r="DJ1" s="4" t="str">
        <f>IFERROR(__xludf.DUMMYFUNCTION("""COMPUTED_VALUE"""),"ART18")</f>
        <v>ART18</v>
      </c>
      <c r="DK1" s="4" t="str">
        <f>IFERROR(__xludf.DUMMYFUNCTION("""COMPUTED_VALUE"""),"EF01")</f>
        <v>EF01</v>
      </c>
      <c r="DL1" s="4" t="str">
        <f>IFERROR(__xludf.DUMMYFUNCTION("""COMPUTED_VALUE"""),"EF02")</f>
        <v>EF02</v>
      </c>
      <c r="DM1" s="4" t="str">
        <f>IFERROR(__xludf.DUMMYFUNCTION("""COMPUTED_VALUE"""),"EF03")</f>
        <v>EF03</v>
      </c>
      <c r="DN1" s="4" t="str">
        <f>IFERROR(__xludf.DUMMYFUNCTION("""COMPUTED_VALUE"""),"EF04")</f>
        <v>EF04</v>
      </c>
      <c r="DO1" s="4" t="str">
        <f>IFERROR(__xludf.DUMMYFUNCTION("""COMPUTED_VALUE"""),"EF05")</f>
        <v>EF05</v>
      </c>
      <c r="DP1" s="4" t="str">
        <f>IFERROR(__xludf.DUMMYFUNCTION("""COMPUTED_VALUE"""),"EF06")</f>
        <v>EF06</v>
      </c>
      <c r="DQ1" s="4" t="str">
        <f>IFERROR(__xludf.DUMMYFUNCTION("""COMPUTED_VALUE"""),"EF07")</f>
        <v>EF07</v>
      </c>
      <c r="DR1" s="4" t="str">
        <f>IFERROR(__xludf.DUMMYFUNCTION("""COMPUTED_VALUE"""),"EF08")</f>
        <v>EF08</v>
      </c>
      <c r="DS1" s="4" t="str">
        <f>IFERROR(__xludf.DUMMYFUNCTION("""COMPUTED_VALUE"""),"EF09")</f>
        <v>EF09</v>
      </c>
      <c r="DT1" s="4" t="str">
        <f>IFERROR(__xludf.DUMMYFUNCTION("""COMPUTED_VALUE"""),"EF10")</f>
        <v>EF10</v>
      </c>
      <c r="DU1" s="4" t="str">
        <f>IFERROR(__xludf.DUMMYFUNCTION("""COMPUTED_VALUE"""),"EF11")</f>
        <v>EF11</v>
      </c>
      <c r="DV1" s="4" t="str">
        <f>IFERROR(__xludf.DUMMYFUNCTION("""COMPUTED_VALUE"""),"EF12")</f>
        <v>EF12</v>
      </c>
      <c r="DW1" s="4" t="str">
        <f>IFERROR(__xludf.DUMMYFUNCTION("""COMPUTED_VALUE"""),"EF13")</f>
        <v>EF13</v>
      </c>
      <c r="DX1" s="4" t="str">
        <f>IFERROR(__xludf.DUMMYFUNCTION("""COMPUTED_VALUE"""),"EF14")</f>
        <v>EF14</v>
      </c>
      <c r="DY1" s="4" t="str">
        <f>IFERROR(__xludf.DUMMYFUNCTION("""COMPUTED_VALUE"""),"EF15")</f>
        <v>EF15</v>
      </c>
      <c r="DZ1" s="4" t="str">
        <f>IFERROR(__xludf.DUMMYFUNCTION("""COMPUTED_VALUE"""),"EF16")</f>
        <v>EF16</v>
      </c>
      <c r="EA1" s="4" t="str">
        <f>IFERROR(__xludf.DUMMYFUNCTION("""COMPUTED_VALUE"""),"EF17")</f>
        <v>EF17</v>
      </c>
      <c r="EB1" s="4" t="str">
        <f>IFERROR(__xludf.DUMMYFUNCTION("""COMPUTED_VALUE"""),"EF18")</f>
        <v>EF18</v>
      </c>
      <c r="EC1" s="4" t="str">
        <f>IFERROR(__xludf.DUMMYFUNCTION("""COMPUTED_VALUE"""),"ENG01")</f>
        <v>ENG01</v>
      </c>
      <c r="ED1" s="4" t="str">
        <f>IFERROR(__xludf.DUMMYFUNCTION("""COMPUTED_VALUE"""),"ENG02")</f>
        <v>ENG02</v>
      </c>
      <c r="EE1" s="4" t="str">
        <f>IFERROR(__xludf.DUMMYFUNCTION("""COMPUTED_VALUE"""),"ENG03")</f>
        <v>ENG03</v>
      </c>
      <c r="EF1" s="4" t="str">
        <f>IFERROR(__xludf.DUMMYFUNCTION("""COMPUTED_VALUE"""),"ENG04")</f>
        <v>ENG04</v>
      </c>
      <c r="EG1" s="4" t="str">
        <f>IFERROR(__xludf.DUMMYFUNCTION("""COMPUTED_VALUE"""),"ENG05")</f>
        <v>ENG05</v>
      </c>
      <c r="EH1" s="4" t="str">
        <f>IFERROR(__xludf.DUMMYFUNCTION("""COMPUTED_VALUE"""),"ENG06")</f>
        <v>ENG06</v>
      </c>
      <c r="EI1" s="4" t="str">
        <f>IFERROR(__xludf.DUMMYFUNCTION("""COMPUTED_VALUE"""),"ENG07")</f>
        <v>ENG07</v>
      </c>
      <c r="EJ1" s="4" t="str">
        <f>IFERROR(__xludf.DUMMYFUNCTION("""COMPUTED_VALUE"""),"ENG08")</f>
        <v>ENG08</v>
      </c>
      <c r="EK1" s="4" t="str">
        <f>IFERROR(__xludf.DUMMYFUNCTION("""COMPUTED_VALUE"""),"ENG09")</f>
        <v>ENG09</v>
      </c>
      <c r="EL1" s="4" t="str">
        <f>IFERROR(__xludf.DUMMYFUNCTION("""COMPUTED_VALUE"""),"ENG10")</f>
        <v>ENG10</v>
      </c>
      <c r="EM1" s="4" t="str">
        <f>IFERROR(__xludf.DUMMYFUNCTION("""COMPUTED_VALUE"""),"ENG11")</f>
        <v>ENG11</v>
      </c>
      <c r="EN1" s="4" t="str">
        <f>IFERROR(__xludf.DUMMYFUNCTION("""COMPUTED_VALUE"""),"ENG12")</f>
        <v>ENG12</v>
      </c>
      <c r="EO1" s="4" t="str">
        <f>IFERROR(__xludf.DUMMYFUNCTION("""COMPUTED_VALUE"""),"ENG13")</f>
        <v>ENG13</v>
      </c>
      <c r="EP1" s="4" t="str">
        <f>IFERROR(__xludf.DUMMYFUNCTION("""COMPUTED_VALUE"""),"ENG14")</f>
        <v>ENG14</v>
      </c>
      <c r="EQ1" s="4" t="str">
        <f>IFERROR(__xludf.DUMMYFUNCTION("""COMPUTED_VALUE"""),"ENG15")</f>
        <v>ENG15</v>
      </c>
      <c r="ER1" s="4" t="str">
        <f>IFERROR(__xludf.DUMMYFUNCTION("""COMPUTED_VALUE"""),"ENG16")</f>
        <v>ENG16</v>
      </c>
      <c r="ES1" s="4" t="str">
        <f>IFERROR(__xludf.DUMMYFUNCTION("""COMPUTED_VALUE"""),"ENG17")</f>
        <v>ENG17</v>
      </c>
      <c r="ET1" s="4" t="str">
        <f>IFERROR(__xludf.DUMMYFUNCTION("""COMPUTED_VALUE"""),"ENG18")</f>
        <v>ENG18</v>
      </c>
    </row>
    <row r="2">
      <c r="C2" s="1" t="str">
        <f>IFERROR(__xludf.DUMMYFUNCTION("""COMPUTED_VALUE"""),"Interpretar texto verbal")</f>
        <v>Interpretar texto verbal</v>
      </c>
      <c r="D2" s="4" t="str">
        <f>IFERROR(__xludf.DUMMYFUNCTION("""COMPUTED_VALUE"""),"Identificar tema central")</f>
        <v>Identificar tema central</v>
      </c>
      <c r="E2" s="4" t="str">
        <f>IFERROR(__xludf.DUMMYFUNCTION("""COMPUTED_VALUE"""),"Localizar informações explícitas")</f>
        <v>Localizar informações explícitas</v>
      </c>
      <c r="F2" s="4" t="str">
        <f>IFERROR(__xludf.DUMMYFUNCTION("""COMPUTED_VALUE"""),"Inferir informações implícitas")</f>
        <v>Inferir informações implícitas</v>
      </c>
      <c r="G2" s="4" t="str">
        <f>IFERROR(__xludf.DUMMYFUNCTION("""COMPUTED_VALUE"""),"Diferenciar fato e opinião")</f>
        <v>Diferenciar fato e opinião</v>
      </c>
      <c r="H2" s="4" t="str">
        <f>IFERROR(__xludf.DUMMYFUNCTION("""COMPUTED_VALUE"""),"Identificar intenção do autor")</f>
        <v>Identificar intenção do autor</v>
      </c>
      <c r="I2" s="4" t="str">
        <f>IFERROR(__xludf.DUMMYFUNCTION("""COMPUTED_VALUE"""),"Reconhecer gênero textual")</f>
        <v>Reconhecer gênero textual</v>
      </c>
      <c r="J2" s="4" t="str">
        <f>IFERROR(__xludf.DUMMYFUNCTION("""COMPUTED_VALUE"""),"Analisar estrutura do texto")</f>
        <v>Analisar estrutura do texto</v>
      </c>
      <c r="K2" s="4" t="str">
        <f>IFERROR(__xludf.DUMMYFUNCTION("""COMPUTED_VALUE"""),"Interpretar textos multimodais (imagem + texto)")</f>
        <v>Interpretar textos multimodais (imagem + texto)</v>
      </c>
      <c r="L2" s="4" t="str">
        <f>IFERROR(__xludf.DUMMYFUNCTION("""COMPUTED_VALUE"""),"Comparar textos sobre o mesmo tema")</f>
        <v>Comparar textos sobre o mesmo tema</v>
      </c>
      <c r="M2" s="4" t="str">
        <f>IFERROR(__xludf.DUMMYFUNCTION("""COMPUTED_VALUE"""),"Avaliar confiabilidade da informação")</f>
        <v>Avaliar confiabilidade da informação</v>
      </c>
      <c r="N2" s="4" t="str">
        <f>IFERROR(__xludf.DUMMYFUNCTION("""COMPUTED_VALUE"""),"Identificar efeitos de sentido (ironia, humor etc.)")</f>
        <v>Identificar efeitos de sentido (ironia, humor etc.)</v>
      </c>
      <c r="O2" s="4" t="str">
        <f>IFERROR(__xludf.DUMMYFUNCTION("""COMPUTED_VALUE"""),"Reconhecer uso de conectivos")</f>
        <v>Reconhecer uso de conectivos</v>
      </c>
      <c r="P2" s="4" t="str">
        <f>IFERROR(__xludf.DUMMYFUNCTION("""COMPUTED_VALUE"""),"Identificar coesão textual")</f>
        <v>Identificar coesão textual</v>
      </c>
      <c r="Q2" s="4" t="str">
        <f>IFERROR(__xludf.DUMMYFUNCTION("""COMPUTED_VALUE"""),"Produzir texto narrativo")</f>
        <v>Produzir texto narrativo</v>
      </c>
      <c r="R2" s="4" t="str">
        <f>IFERROR(__xludf.DUMMYFUNCTION("""COMPUTED_VALUE"""),"Produzir texto opinativo")</f>
        <v>Produzir texto opinativo</v>
      </c>
      <c r="S2" s="4" t="str">
        <f>IFERROR(__xludf.DUMMYFUNCTION("""COMPUTED_VALUE"""),"Revisar e corrigir texto")</f>
        <v>Revisar e corrigir texto</v>
      </c>
      <c r="T2" s="4" t="str">
        <f>IFERROR(__xludf.DUMMYFUNCTION("""COMPUTED_VALUE"""),"Compreender hipertextos (links, navegação digital)")</f>
        <v>Compreender hipertextos (links, navegação digital)</v>
      </c>
      <c r="U2" s="4" t="str">
        <f>IFERROR(__xludf.DUMMYFUNCTION("""COMPUTED_VALUE"""),"Resolver problemas com números naturais")</f>
        <v>Resolver problemas com números naturais</v>
      </c>
      <c r="V2" s="4" t="str">
        <f>IFERROR(__xludf.DUMMYFUNCTION("""COMPUTED_VALUE"""),"Resolver problemas com frações")</f>
        <v>Resolver problemas com frações</v>
      </c>
      <c r="W2" s="4" t="str">
        <f>IFERROR(__xludf.DUMMYFUNCTION("""COMPUTED_VALUE"""),"Resolver problemas com números decimais")</f>
        <v>Resolver problemas com números decimais</v>
      </c>
      <c r="X2" s="4" t="str">
        <f>IFERROR(__xludf.DUMMYFUNCTION("""COMPUTED_VALUE"""),"Interpretar enunciados matemáticos")</f>
        <v>Interpretar enunciados matemáticos</v>
      </c>
      <c r="Y2" s="4" t="str">
        <f>IFERROR(__xludf.DUMMYFUNCTION("""COMPUTED_VALUE"""),"Realizar operações básicas (4 operações)")</f>
        <v>Realizar operações básicas (4 operações)</v>
      </c>
      <c r="Z2" s="4" t="str">
        <f>IFERROR(__xludf.DUMMYFUNCTION("""COMPUTED_VALUE"""),"Aplicar cálculo mental")</f>
        <v>Aplicar cálculo mental</v>
      </c>
      <c r="AA2" s="4" t="str">
        <f>IFERROR(__xludf.DUMMYFUNCTION("""COMPUTED_VALUE"""),"Estimar resultados")</f>
        <v>Estimar resultados</v>
      </c>
      <c r="AB2" s="4" t="str">
        <f>IFERROR(__xludf.DUMMYFUNCTION("""COMPUTED_VALUE"""),"Identificar padrões numéricos")</f>
        <v>Identificar padrões numéricos</v>
      </c>
      <c r="AC2" s="4" t="str">
        <f>IFERROR(__xludf.DUMMYFUNCTION("""COMPUTED_VALUE"""),"Introdução ao pensamento algébrico")</f>
        <v>Introdução ao pensamento algébrico</v>
      </c>
      <c r="AD2" s="4" t="str">
        <f>IFERROR(__xludf.DUMMYFUNCTION("""COMPUTED_VALUE"""),"Resolver expressões numéricas")</f>
        <v>Resolver expressões numéricas</v>
      </c>
      <c r="AE2" s="4" t="str">
        <f>IFERROR(__xludf.DUMMYFUNCTION("""COMPUTED_VALUE"""),"Trabalhar com múltiplos e divisores")</f>
        <v>Trabalhar com múltiplos e divisores</v>
      </c>
      <c r="AF2" s="4" t="str">
        <f>IFERROR(__xludf.DUMMYFUNCTION("""COMPUTED_VALUE"""),"Resolver problemas de proporcionalidade simples")</f>
        <v>Resolver problemas de proporcionalidade simples</v>
      </c>
      <c r="AG2" s="4" t="str">
        <f>IFERROR(__xludf.DUMMYFUNCTION("""COMPUTED_VALUE"""),"Interpretar gráficos e tabelas")</f>
        <v>Interpretar gráficos e tabelas</v>
      </c>
      <c r="AH2" s="4" t="str">
        <f>IFERROR(__xludf.DUMMYFUNCTION("""COMPUTED_VALUE"""),"Construir tabelas simples")</f>
        <v>Construir tabelas simples</v>
      </c>
      <c r="AI2" s="4" t="str">
        <f>IFERROR(__xludf.DUMMYFUNCTION("""COMPUTED_VALUE"""),"Resolver problemas de medida (tempo, volume, massa)")</f>
        <v>Resolver problemas de medida (tempo, volume, massa)</v>
      </c>
      <c r="AJ2" s="4" t="str">
        <f>IFERROR(__xludf.DUMMYFUNCTION("""COMPUTED_VALUE"""),"Converter unidades de medida")</f>
        <v>Converter unidades de medida</v>
      </c>
      <c r="AK2" s="4" t="str">
        <f>IFERROR(__xludf.DUMMYFUNCTION("""COMPUTED_VALUE"""),"Reconhecer formas geométricas planas")</f>
        <v>Reconhecer formas geométricas planas</v>
      </c>
      <c r="AL2" s="4" t="str">
        <f>IFERROR(__xludf.DUMMYFUNCTION("""COMPUTED_VALUE"""),"Calcular perímetro")</f>
        <v>Calcular perímetro</v>
      </c>
      <c r="AM2" s="4" t="str">
        <f>IFERROR(__xludf.DUMMYFUNCTION("""COMPUTED_VALUE"""),"Calcular área (básico)")</f>
        <v>Calcular área (básico)</v>
      </c>
      <c r="AN2" s="4" t="str">
        <f>IFERROR(__xludf.DUMMYFUNCTION("""COMPUTED_VALUE"""),"Interpretar situações do cotidiano com matemática")</f>
        <v>Interpretar situações do cotidiano com matemática</v>
      </c>
      <c r="AO2" s="4" t="str">
        <f>IFERROR(__xludf.DUMMYFUNCTION("""COMPUTED_VALUE"""),"Compreender método científico")</f>
        <v>Compreender método científico</v>
      </c>
      <c r="AP2" s="4" t="str">
        <f>IFERROR(__xludf.DUMMYFUNCTION("""COMPUTED_VALUE"""),"Formular hipóteses")</f>
        <v>Formular hipóteses</v>
      </c>
      <c r="AQ2" s="4" t="str">
        <f>IFERROR(__xludf.DUMMYFUNCTION("""COMPUTED_VALUE"""),"Interpretar experimentos")</f>
        <v>Interpretar experimentos</v>
      </c>
      <c r="AR2" s="4" t="str">
        <f>IFERROR(__xludf.DUMMYFUNCTION("""COMPUTED_VALUE"""),"Registrar observações")</f>
        <v>Registrar observações</v>
      </c>
      <c r="AS2" s="4" t="str">
        <f>IFERROR(__xludf.DUMMYFUNCTION("""COMPUTED_VALUE"""),"Identificar estados físicos da matéria")</f>
        <v>Identificar estados físicos da matéria</v>
      </c>
      <c r="AT2" s="4" t="str">
        <f>IFERROR(__xludf.DUMMYFUNCTION("""COMPUTED_VALUE"""),"Compreender mudanças de estado")</f>
        <v>Compreender mudanças de estado</v>
      </c>
      <c r="AU2" s="4" t="str">
        <f>IFERROR(__xludf.DUMMYFUNCTION("""COMPUTED_VALUE"""),"Identificar propriedades da matéria")</f>
        <v>Identificar propriedades da matéria</v>
      </c>
      <c r="AV2" s="4" t="str">
        <f>IFERROR(__xludf.DUMMYFUNCTION("""COMPUTED_VALUE"""),"Entender mistura e separação de materiais")</f>
        <v>Entender mistura e separação de materiais</v>
      </c>
      <c r="AW2" s="4" t="str">
        <f>IFERROR(__xludf.DUMMYFUNCTION("""COMPUTED_VALUE"""),"Compreender energia e suas formas")</f>
        <v>Compreender energia e suas formas</v>
      </c>
      <c r="AX2" s="4" t="str">
        <f>IFERROR(__xludf.DUMMYFUNCTION("""COMPUTED_VALUE"""),"Identificar fontes de energia")</f>
        <v>Identificar fontes de energia</v>
      </c>
      <c r="AY2" s="4" t="str">
        <f>IFERROR(__xludf.DUMMYFUNCTION("""COMPUTED_VALUE"""),"Entender sistema solar")</f>
        <v>Entender sistema solar</v>
      </c>
      <c r="AZ2" s="4" t="str">
        <f>IFERROR(__xludf.DUMMYFUNCTION("""COMPUTED_VALUE"""),"Compreender planeta Terra")</f>
        <v>Compreender planeta Terra</v>
      </c>
      <c r="BA2" s="4" t="str">
        <f>IFERROR(__xludf.DUMMYFUNCTION("""COMPUTED_VALUE"""),"Identificar camadas da Terra")</f>
        <v>Identificar camadas da Terra</v>
      </c>
      <c r="BB2" s="4" t="str">
        <f>IFERROR(__xludf.DUMMYFUNCTION("""COMPUTED_VALUE"""),"Compreender fenômenos naturais")</f>
        <v>Compreender fenômenos naturais</v>
      </c>
      <c r="BC2" s="4" t="str">
        <f>IFERROR(__xludf.DUMMYFUNCTION("""COMPUTED_VALUE"""),"Entender ciclos naturais (água, etc.)")</f>
        <v>Entender ciclos naturais (água, etc.)</v>
      </c>
      <c r="BD2" s="4" t="str">
        <f>IFERROR(__xludf.DUMMYFUNCTION("""COMPUTED_VALUE"""),"Compreender ecossistemas")</f>
        <v>Compreender ecossistemas</v>
      </c>
      <c r="BE2" s="4" t="str">
        <f>IFERROR(__xludf.DUMMYFUNCTION("""COMPUTED_VALUE"""),"Identificar relações ecológicas")</f>
        <v>Identificar relações ecológicas</v>
      </c>
      <c r="BF2" s="4" t="str">
        <f>IFERROR(__xludf.DUMMYFUNCTION("""COMPUTED_VALUE"""),"Entender impacto ambiental")</f>
        <v>Entender impacto ambiental</v>
      </c>
      <c r="BG2" s="4" t="str">
        <f>IFERROR(__xludf.DUMMYFUNCTION("""COMPUTED_VALUE"""),"Compreender sustentabilidade")</f>
        <v>Compreender sustentabilidade</v>
      </c>
      <c r="BH2" s="4" t="str">
        <f>IFERROR(__xludf.DUMMYFUNCTION("""COMPUTED_VALUE"""),"Relacionar ciência ao cotidiano")</f>
        <v>Relacionar ciência ao cotidiano</v>
      </c>
      <c r="BI2" s="4" t="str">
        <f>IFERROR(__xludf.DUMMYFUNCTION("""COMPUTED_VALUE"""),"Compreender conceito de espaço geográfico")</f>
        <v>Compreender conceito de espaço geográfico</v>
      </c>
      <c r="BJ2" s="4" t="str">
        <f>IFERROR(__xludf.DUMMYFUNCTION("""COMPUTED_VALUE"""),"Identificar paisagens naturais e humanizadas")</f>
        <v>Identificar paisagens naturais e humanizadas</v>
      </c>
      <c r="BK2" s="4" t="str">
        <f>IFERROR(__xludf.DUMMYFUNCTION("""COMPUTED_VALUE"""),"Diferenciar tempo e clima")</f>
        <v>Diferenciar tempo e clima</v>
      </c>
      <c r="BL2" s="4" t="str">
        <f>IFERROR(__xludf.DUMMYFUNCTION("""COMPUTED_VALUE"""),"Identificar tipos de clima")</f>
        <v>Identificar tipos de clima</v>
      </c>
      <c r="BM2" s="4" t="str">
        <f>IFERROR(__xludf.DUMMYFUNCTION("""COMPUTED_VALUE"""),"Compreender relevo terrestre")</f>
        <v>Compreender relevo terrestre</v>
      </c>
      <c r="BN2" s="4" t="str">
        <f>IFERROR(__xludf.DUMMYFUNCTION("""COMPUTED_VALUE"""),"Identificar recursos naturais")</f>
        <v>Identificar recursos naturais</v>
      </c>
      <c r="BO2" s="4" t="str">
        <f>IFERROR(__xludf.DUMMYFUNCTION("""COMPUTED_VALUE"""),"Analisar uso dos recursos naturais")</f>
        <v>Analisar uso dos recursos naturais</v>
      </c>
      <c r="BP2" s="4" t="str">
        <f>IFERROR(__xludf.DUMMYFUNCTION("""COMPUTED_VALUE"""),"Compreender impacto ambiental humano")</f>
        <v>Compreender impacto ambiental humano</v>
      </c>
      <c r="BQ2" s="4" t="str">
        <f>IFERROR(__xludf.DUMMYFUNCTION("""COMPUTED_VALUE"""),"Identificar problemas ambientais")</f>
        <v>Identificar problemas ambientais</v>
      </c>
      <c r="BR2" s="4" t="str">
        <f>IFERROR(__xludf.DUMMYFUNCTION("""COMPUTED_VALUE"""),"Entender hidrografia básica")</f>
        <v>Entender hidrografia básica</v>
      </c>
      <c r="BS2" s="4" t="str">
        <f>IFERROR(__xludf.DUMMYFUNCTION("""COMPUTED_VALUE"""),"Interpretar mapas simples")</f>
        <v>Interpretar mapas simples</v>
      </c>
      <c r="BT2" s="4" t="str">
        <f>IFERROR(__xludf.DUMMYFUNCTION("""COMPUTED_VALUE"""),"Localizar-se no espaço (orientação)")</f>
        <v>Localizar-se no espaço (orientação)</v>
      </c>
      <c r="BU2" s="4" t="str">
        <f>IFERROR(__xludf.DUMMYFUNCTION("""COMPUTED_VALUE"""),"Compreender urbanização")</f>
        <v>Compreender urbanização</v>
      </c>
      <c r="BV2" s="4" t="str">
        <f>IFERROR(__xludf.DUMMYFUNCTION("""COMPUTED_VALUE"""),"Analisar transformação do espaço urbano")</f>
        <v>Analisar transformação do espaço urbano</v>
      </c>
      <c r="BW2" s="4" t="str">
        <f>IFERROR(__xludf.DUMMYFUNCTION("""COMPUTED_VALUE"""),"Entender atividades econômicas básicas")</f>
        <v>Entender atividades econômicas básicas</v>
      </c>
      <c r="BX2" s="4" t="str">
        <f>IFERROR(__xludf.DUMMYFUNCTION("""COMPUTED_VALUE"""),"Relacionar sociedade e natureza")</f>
        <v>Relacionar sociedade e natureza</v>
      </c>
      <c r="BY2" s="4" t="str">
        <f>IFERROR(__xludf.DUMMYFUNCTION("""COMPUTED_VALUE"""),"Comparar diferentes regiões")</f>
        <v>Comparar diferentes regiões</v>
      </c>
      <c r="BZ2" s="4" t="str">
        <f>IFERROR(__xludf.DUMMYFUNCTION("""COMPUTED_VALUE"""),"Interpretar gráficos geográficos")</f>
        <v>Interpretar gráficos geográficos</v>
      </c>
      <c r="CA2" s="4" t="str">
        <f>IFERROR(__xludf.DUMMYFUNCTION("""COMPUTED_VALUE"""),"Compreender noção de tempo histórico")</f>
        <v>Compreender noção de tempo histórico</v>
      </c>
      <c r="CB2" s="4" t="str">
        <f>IFERROR(__xludf.DUMMYFUNCTION("""COMPUTED_VALUE"""),"Identificar diferentes períodos históricos")</f>
        <v>Identificar diferentes períodos históricos</v>
      </c>
      <c r="CC2" s="4" t="str">
        <f>IFERROR(__xludf.DUMMYFUNCTION("""COMPUTED_VALUE"""),"Comparar sociedades antigas")</f>
        <v>Comparar sociedades antigas</v>
      </c>
      <c r="CD2" s="4" t="str">
        <f>IFERROR(__xludf.DUMMYFUNCTION("""COMPUTED_VALUE"""),"Identificar fontes históricas")</f>
        <v>Identificar fontes históricas</v>
      </c>
      <c r="CE2" s="4" t="str">
        <f>IFERROR(__xludf.DUMMYFUNCTION("""COMPUTED_VALUE"""),"Interpretar documentos históricos")</f>
        <v>Interpretar documentos históricos</v>
      </c>
      <c r="CF2" s="4" t="str">
        <f>IFERROR(__xludf.DUMMYFUNCTION("""COMPUTED_VALUE"""),"Analisar diferentes versões de um fato")</f>
        <v>Analisar diferentes versões de um fato</v>
      </c>
      <c r="CG2" s="4" t="str">
        <f>IFERROR(__xludf.DUMMYFUNCTION("""COMPUTED_VALUE"""),"Entender cultura e diversidade")</f>
        <v>Entender cultura e diversidade</v>
      </c>
      <c r="CH2" s="4" t="str">
        <f>IFERROR(__xludf.DUMMYFUNCTION("""COMPUTED_VALUE"""),"Identificar formas de organização social")</f>
        <v>Identificar formas de organização social</v>
      </c>
      <c r="CI2" s="4" t="str">
        <f>IFERROR(__xludf.DUMMYFUNCTION("""COMPUTED_VALUE"""),"Compreender origem das civilizações")</f>
        <v>Compreender origem das civilizações</v>
      </c>
      <c r="CJ2" s="4" t="str">
        <f>IFERROR(__xludf.DUMMYFUNCTION("""COMPUTED_VALUE"""),"Relacionar passado e presente")</f>
        <v>Relacionar passado e presente</v>
      </c>
      <c r="CK2" s="4" t="str">
        <f>IFERROR(__xludf.DUMMYFUNCTION("""COMPUTED_VALUE"""),"Identificar mudanças e permanências")</f>
        <v>Identificar mudanças e permanências</v>
      </c>
      <c r="CL2" s="4" t="str">
        <f>IFERROR(__xludf.DUMMYFUNCTION("""COMPUTED_VALUE"""),"Compreender processos históricos")</f>
        <v>Compreender processos históricos</v>
      </c>
      <c r="CM2" s="4" t="str">
        <f>IFERROR(__xludf.DUMMYFUNCTION("""COMPUTED_VALUE"""),"Reconhecer diferentes culturas")</f>
        <v>Reconhecer diferentes culturas</v>
      </c>
      <c r="CN2" s="4" t="str">
        <f>IFERROR(__xludf.DUMMYFUNCTION("""COMPUTED_VALUE"""),"Analisar relações de poder")</f>
        <v>Analisar relações de poder</v>
      </c>
      <c r="CO2" s="4" t="str">
        <f>IFERROR(__xludf.DUMMYFUNCTION("""COMPUTED_VALUE"""),"Interpretar narrativas históricas")</f>
        <v>Interpretar narrativas históricas</v>
      </c>
      <c r="CP2" s="4" t="str">
        <f>IFERROR(__xludf.DUMMYFUNCTION("""COMPUTED_VALUE"""),"Comparar modos de vida")</f>
        <v>Comparar modos de vida</v>
      </c>
      <c r="CQ2" s="4" t="str">
        <f>IFERROR(__xludf.DUMMYFUNCTION("""COMPUTED_VALUE"""),"Analisar conflitos históricos")</f>
        <v>Analisar conflitos históricos</v>
      </c>
      <c r="CR2" s="4" t="str">
        <f>IFERROR(__xludf.DUMMYFUNCTION("""COMPUTED_VALUE"""),"Desenvolver pensamento crítico histórico")</f>
        <v>Desenvolver pensamento crítico histórico</v>
      </c>
      <c r="CS2" s="4" t="str">
        <f>IFERROR(__xludf.DUMMYFUNCTION("""COMPUTED_VALUE"""),"Reconhecer diferentes linguagens artísticas (visual, música, teatro, dança)")</f>
        <v>Reconhecer diferentes linguagens artísticas (visual, música, teatro, dança)</v>
      </c>
      <c r="CT2" s="4" t="str">
        <f>IFERROR(__xludf.DUMMYFUNCTION("""COMPUTED_VALUE"""),"Identificar elementos visuais (cor, forma, linha)")</f>
        <v>Identificar elementos visuais (cor, forma, linha)</v>
      </c>
      <c r="CU2" s="4" t="str">
        <f>IFERROR(__xludf.DUMMYFUNCTION("""COMPUTED_VALUE"""),"Analisar obras de arte")</f>
        <v>Analisar obras de arte</v>
      </c>
      <c r="CV2" s="4" t="str">
        <f>IFERROR(__xludf.DUMMYFUNCTION("""COMPUTED_VALUE"""),"Interpretar significado de obras")</f>
        <v>Interpretar significado de obras</v>
      </c>
      <c r="CW2" s="4" t="str">
        <f>IFERROR(__xludf.DUMMYFUNCTION("""COMPUTED_VALUE"""),"Reconhecer contexto cultural da arte")</f>
        <v>Reconhecer contexto cultural da arte</v>
      </c>
      <c r="CX2" s="4" t="str">
        <f>IFERROR(__xludf.DUMMYFUNCTION("""COMPUTED_VALUE"""),"Identificar estilos artísticos")</f>
        <v>Identificar estilos artísticos</v>
      </c>
      <c r="CY2" s="4" t="str">
        <f>IFERROR(__xludf.DUMMYFUNCTION("""COMPUTED_VALUE"""),"Comparar obras de diferentes épocas")</f>
        <v>Comparar obras de diferentes épocas</v>
      </c>
      <c r="CZ2" s="4" t="str">
        <f>IFERROR(__xludf.DUMMYFUNCTION("""COMPUTED_VALUE"""),"Expressar ideias por meio de desenho")</f>
        <v>Expressar ideias por meio de desenho</v>
      </c>
      <c r="DA2" s="4" t="str">
        <f>IFERROR(__xludf.DUMMYFUNCTION("""COMPUTED_VALUE"""),"Produzir trabalhos artísticos")</f>
        <v>Produzir trabalhos artísticos</v>
      </c>
      <c r="DB2" s="4" t="str">
        <f>IFERROR(__xludf.DUMMYFUNCTION("""COMPUTED_VALUE"""),"Experimentar materiais e técnicas")</f>
        <v>Experimentar materiais e técnicas</v>
      </c>
      <c r="DC2" s="4" t="str">
        <f>IFERROR(__xludf.DUMMYFUNCTION("""COMPUTED_VALUE"""),"Criar composições visuais")</f>
        <v>Criar composições visuais</v>
      </c>
      <c r="DD2" s="4" t="str">
        <f>IFERROR(__xludf.DUMMYFUNCTION("""COMPUTED_VALUE"""),"Desenvolver criatividade")</f>
        <v>Desenvolver criatividade</v>
      </c>
      <c r="DE2" s="4" t="str">
        <f>IFERROR(__xludf.DUMMYFUNCTION("""COMPUTED_VALUE"""),"Reconhecer manifestações culturais brasileiras")</f>
        <v>Reconhecer manifestações culturais brasileiras</v>
      </c>
      <c r="DF2" s="4" t="str">
        <f>IFERROR(__xludf.DUMMYFUNCTION("""COMPUTED_VALUE"""),"Relacionar arte e sociedade")</f>
        <v>Relacionar arte e sociedade</v>
      </c>
      <c r="DG2" s="4" t="str">
        <f>IFERROR(__xludf.DUMMYFUNCTION("""COMPUTED_VALUE"""),"Interpretar música (ritmo, melodia)")</f>
        <v>Interpretar música (ritmo, melodia)</v>
      </c>
      <c r="DH2" s="4" t="str">
        <f>IFERROR(__xludf.DUMMYFUNCTION("""COMPUTED_VALUE"""),"Participar de atividades artísticas")</f>
        <v>Participar de atividades artísticas</v>
      </c>
      <c r="DI2" s="4" t="str">
        <f>IFERROR(__xludf.DUMMYFUNCTION("""COMPUTED_VALUE"""),"Avaliar produções artísticas")</f>
        <v>Avaliar produções artísticas</v>
      </c>
      <c r="DJ2" s="4" t="str">
        <f>IFERROR(__xludf.DUMMYFUNCTION("""COMPUTED_VALUE"""),"Comunicar ideias por linguagem artística")</f>
        <v>Comunicar ideias por linguagem artística</v>
      </c>
      <c r="DK2" s="4" t="str">
        <f>IFERROR(__xludf.DUMMYFUNCTION("""COMPUTED_VALUE"""),"Compreender o funcionamento do corpo")</f>
        <v>Compreender o funcionamento do corpo</v>
      </c>
      <c r="DL2" s="4" t="str">
        <f>IFERROR(__xludf.DUMMYFUNCTION("""COMPUTED_VALUE"""),"Identificar capacidades físicas (força, resistência, etc.)")</f>
        <v>Identificar capacidades físicas (força, resistência, etc.)</v>
      </c>
      <c r="DM2" s="4" t="str">
        <f>IFERROR(__xludf.DUMMYFUNCTION("""COMPUTED_VALUE"""),"Praticar atividades físicas básicas")</f>
        <v>Praticar atividades físicas básicas</v>
      </c>
      <c r="DN2" s="4" t="str">
        <f>IFERROR(__xludf.DUMMYFUNCTION("""COMPUTED_VALUE"""),"Diferenciar atividade física e exercício")</f>
        <v>Diferenciar atividade física e exercício</v>
      </c>
      <c r="DO2" s="4" t="str">
        <f>IFERROR(__xludf.DUMMYFUNCTION("""COMPUTED_VALUE"""),"Conhecer regras de esportes")</f>
        <v>Conhecer regras de esportes</v>
      </c>
      <c r="DP2" s="4" t="str">
        <f>IFERROR(__xludf.DUMMYFUNCTION("""COMPUTED_VALUE"""),"Aplicar regras em jogos")</f>
        <v>Aplicar regras em jogos</v>
      </c>
      <c r="DQ2" s="4" t="str">
        <f>IFERROR(__xludf.DUMMYFUNCTION("""COMPUTED_VALUE"""),"Desenvolver coordenação motora")</f>
        <v>Desenvolver coordenação motora</v>
      </c>
      <c r="DR2" s="4" t="str">
        <f>IFERROR(__xludf.DUMMYFUNCTION("""COMPUTED_VALUE"""),"Trabalhar em equipe")</f>
        <v>Trabalhar em equipe</v>
      </c>
      <c r="DS2" s="4" t="str">
        <f>IFERROR(__xludf.DUMMYFUNCTION("""COMPUTED_VALUE"""),"Respeitar regras e colegas")</f>
        <v>Respeitar regras e colegas</v>
      </c>
      <c r="DT2" s="4" t="str">
        <f>IFERROR(__xludf.DUMMYFUNCTION("""COMPUTED_VALUE"""),"Compreender importância da atividade física")</f>
        <v>Compreender importância da atividade física</v>
      </c>
      <c r="DU2" s="4" t="str">
        <f>IFERROR(__xludf.DUMMYFUNCTION("""COMPUTED_VALUE"""),"Relacionar exercício e saúde")</f>
        <v>Relacionar exercício e saúde</v>
      </c>
      <c r="DV2" s="4" t="str">
        <f>IFERROR(__xludf.DUMMYFUNCTION("""COMPUTED_VALUE"""),"Desenvolver equilíbrio")</f>
        <v>Desenvolver equilíbrio</v>
      </c>
      <c r="DW2" s="4" t="str">
        <f>IFERROR(__xludf.DUMMYFUNCTION("""COMPUTED_VALUE"""),"Desenvolver agilidade")</f>
        <v>Desenvolver agilidade</v>
      </c>
      <c r="DX2" s="4" t="str">
        <f>IFERROR(__xludf.DUMMYFUNCTION("""COMPUTED_VALUE"""),"Participar de jogos cooperativos")</f>
        <v>Participar de jogos cooperativos</v>
      </c>
      <c r="DY2" s="4" t="str">
        <f>IFERROR(__xludf.DUMMYFUNCTION("""COMPUTED_VALUE"""),"Conhecer esportes variados")</f>
        <v>Conhecer esportes variados</v>
      </c>
      <c r="DZ2" s="4" t="str">
        <f>IFERROR(__xludf.DUMMYFUNCTION("""COMPUTED_VALUE"""),"Desenvolver hábitos saudáveis")</f>
        <v>Desenvolver hábitos saudáveis</v>
      </c>
      <c r="EA2" s="4" t="str">
        <f>IFERROR(__xludf.DUMMYFUNCTION("""COMPUTED_VALUE"""),"Compreender limites do corpo")</f>
        <v>Compreender limites do corpo</v>
      </c>
      <c r="EB2" s="4" t="str">
        <f>IFERROR(__xludf.DUMMYFUNCTION("""COMPUTED_VALUE"""),"Prevenir lesões básicas")</f>
        <v>Prevenir lesões básicas</v>
      </c>
      <c r="EC2" s="4" t="str">
        <f>IFERROR(__xludf.DUMMYFUNCTION("""COMPUTED_VALUE"""),"Compreender vocabulário básico de inglês")</f>
        <v>Compreender vocabulário básico de inglês</v>
      </c>
      <c r="ED2" s="4" t="str">
        <f>IFERROR(__xludf.DUMMYFUNCTION("""COMPUTED_VALUE"""),"Identificar palavras em contexto em inglês")</f>
        <v>Identificar palavras em contexto em inglês</v>
      </c>
      <c r="EE2" s="4" t="str">
        <f>IFERROR(__xludf.DUMMYFUNCTION("""COMPUTED_VALUE"""),"Interpretar textos simples em inglês")</f>
        <v>Interpretar textos simples em inglês</v>
      </c>
      <c r="EF2" s="4" t="str">
        <f>IFERROR(__xludf.DUMMYFUNCTION("""COMPUTED_VALUE"""),"Compreender instruções básicas em inglês")</f>
        <v>Compreender instruções básicas em inglês</v>
      </c>
      <c r="EG2" s="4" t="str">
        <f>IFERROR(__xludf.DUMMYFUNCTION("""COMPUTED_VALUE"""),"Identificar informações em textos curtos em inglês")</f>
        <v>Identificar informações em textos curtos em inglês</v>
      </c>
      <c r="EH2" s="4" t="str">
        <f>IFERROR(__xludf.DUMMYFUNCTION("""COMPUTED_VALUE"""),"Relacionar imagem e palavra em inglês")</f>
        <v>Relacionar imagem e palavra em inglês</v>
      </c>
      <c r="EI2" s="4" t="str">
        <f>IFERROR(__xludf.DUMMYFUNCTION("""COMPUTED_VALUE"""),"Reconhecer estruturas simples (verbo to be, etc.) em inglês")</f>
        <v>Reconhecer estruturas simples (verbo to be, etc.) em inglês</v>
      </c>
      <c r="EJ2" s="4" t="str">
        <f>IFERROR(__xludf.DUMMYFUNCTION("""COMPUTED_VALUE"""),"Formar frases simples em inglês")</f>
        <v>Formar frases simples em inglês</v>
      </c>
      <c r="EK2" s="4" t="str">
        <f>IFERROR(__xludf.DUMMYFUNCTION("""COMPUTED_VALUE"""),"Produzir frases escritas básicas em inglês")</f>
        <v>Produzir frases escritas básicas em inglês</v>
      </c>
      <c r="EL2" s="4" t="str">
        <f>IFERROR(__xludf.DUMMYFUNCTION("""COMPUTED_VALUE"""),"Compreender diálogos simples em inglês")</f>
        <v>Compreender diálogos simples em inglês</v>
      </c>
      <c r="EM2" s="4" t="str">
        <f>IFERROR(__xludf.DUMMYFUNCTION("""COMPUTED_VALUE"""),"Identificar tempo verbal básico em inglês")</f>
        <v>Identificar tempo verbal básico em inglês</v>
      </c>
      <c r="EN2" s="4" t="str">
        <f>IFERROR(__xludf.DUMMYFUNCTION("""COMPUTED_VALUE"""),"Utilizar pronomes básicos em inglês")</f>
        <v>Utilizar pronomes básicos em inglês</v>
      </c>
      <c r="EO2" s="4" t="str">
        <f>IFERROR(__xludf.DUMMYFUNCTION("""COMPUTED_VALUE"""),"Compreender perguntas simples em inglês")</f>
        <v>Compreender perguntas simples em inglês</v>
      </c>
      <c r="EP2" s="4" t="str">
        <f>IFERROR(__xludf.DUMMYFUNCTION("""COMPUTED_VALUE"""),"Responder perguntas simples em inglês")</f>
        <v>Responder perguntas simples em inglês</v>
      </c>
      <c r="EQ2" s="4" t="str">
        <f>IFERROR(__xludf.DUMMYFUNCTION("""COMPUTED_VALUE"""),"Desenvolver escuta (listening) em inglês")</f>
        <v>Desenvolver escuta (listening) em inglês</v>
      </c>
      <c r="ER2" s="4" t="str">
        <f>IFERROR(__xludf.DUMMYFUNCTION("""COMPUTED_VALUE"""),"Desenvolver leitura (reading) em inglês")</f>
        <v>Desenvolver leitura (reading) em inglês</v>
      </c>
      <c r="ES2" s="4" t="str">
        <f>IFERROR(__xludf.DUMMYFUNCTION("""COMPUTED_VALUE"""),"Desenvolver escrita (writing) em inglês")</f>
        <v>Desenvolver escrita (writing) em inglês</v>
      </c>
      <c r="ET2" s="4" t="str">
        <f>IFERROR(__xludf.DUMMYFUNCTION("""COMPUTED_VALUE"""),"Desenvolver fala básica (speaking) em inglês")</f>
        <v>Desenvolver fala básica (speaking) em inglês</v>
      </c>
    </row>
    <row r="3">
      <c r="A3" s="1" t="s">
        <v>1</v>
      </c>
      <c r="B3" s="1" t="s">
        <v>3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  <c r="H3" s="1">
        <v>0.0</v>
      </c>
      <c r="I3" s="1">
        <v>1.0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0.0</v>
      </c>
      <c r="P3" s="1">
        <v>1.0</v>
      </c>
      <c r="Q3" s="1">
        <v>0.0</v>
      </c>
      <c r="R3" s="1">
        <v>1.0</v>
      </c>
      <c r="S3" s="1">
        <v>0.0</v>
      </c>
      <c r="T3" s="1">
        <v>0.0</v>
      </c>
      <c r="U3" s="1">
        <v>1.0</v>
      </c>
      <c r="V3" s="1">
        <v>1.0</v>
      </c>
      <c r="W3" s="1">
        <v>1.0</v>
      </c>
      <c r="X3" s="1">
        <v>1.0</v>
      </c>
      <c r="Y3" s="1">
        <v>1.0</v>
      </c>
      <c r="Z3" s="1">
        <v>1.0</v>
      </c>
      <c r="AA3" s="1">
        <v>0.0</v>
      </c>
      <c r="AB3" s="1">
        <v>0.0</v>
      </c>
      <c r="AC3" s="1">
        <v>1.0</v>
      </c>
      <c r="AD3" s="1">
        <v>1.0</v>
      </c>
      <c r="AE3" s="1">
        <v>1.0</v>
      </c>
      <c r="AF3" s="1">
        <v>1.0</v>
      </c>
      <c r="AG3" s="1">
        <v>1.0</v>
      </c>
      <c r="AH3" s="1">
        <v>0.0</v>
      </c>
      <c r="AI3" s="1">
        <v>1.0</v>
      </c>
      <c r="AJ3" s="1">
        <v>1.0</v>
      </c>
      <c r="AK3" s="1">
        <v>0.0</v>
      </c>
      <c r="AL3" s="1">
        <v>0.0</v>
      </c>
      <c r="AM3" s="1">
        <v>0.0</v>
      </c>
      <c r="AN3" s="1">
        <v>1.0</v>
      </c>
      <c r="AO3" s="1">
        <v>0.0</v>
      </c>
      <c r="AP3" s="1">
        <v>1.0</v>
      </c>
      <c r="AQ3" s="1">
        <v>0.0</v>
      </c>
      <c r="AR3" s="1">
        <v>1.0</v>
      </c>
      <c r="AS3" s="1">
        <v>1.0</v>
      </c>
      <c r="AT3" s="1">
        <v>1.0</v>
      </c>
      <c r="AU3" s="1">
        <v>1.0</v>
      </c>
      <c r="AV3" s="1">
        <v>0.0</v>
      </c>
      <c r="AW3" s="1">
        <v>0.0</v>
      </c>
      <c r="AX3" s="1">
        <v>0.0</v>
      </c>
      <c r="AY3" s="1">
        <v>0.0</v>
      </c>
      <c r="AZ3" s="1">
        <v>1.0</v>
      </c>
      <c r="BA3" s="1">
        <v>0.0</v>
      </c>
      <c r="BB3" s="1">
        <v>1.0</v>
      </c>
      <c r="BC3" s="1">
        <v>1.0</v>
      </c>
      <c r="BD3" s="1">
        <v>0.0</v>
      </c>
      <c r="BE3" s="1">
        <v>1.0</v>
      </c>
      <c r="BF3" s="1">
        <v>0.0</v>
      </c>
      <c r="BG3" s="1">
        <v>1.0</v>
      </c>
      <c r="BH3" s="1">
        <v>1.0</v>
      </c>
      <c r="BI3" s="1">
        <v>0.0</v>
      </c>
      <c r="BJ3" s="1">
        <v>1.0</v>
      </c>
      <c r="BK3" s="1">
        <v>1.0</v>
      </c>
      <c r="BL3" s="1">
        <v>1.0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1.0</v>
      </c>
      <c r="BS3" s="1">
        <v>1.0</v>
      </c>
      <c r="BT3" s="1">
        <v>0.0</v>
      </c>
      <c r="BU3" s="1">
        <v>0.0</v>
      </c>
      <c r="BV3" s="1">
        <v>1.0</v>
      </c>
      <c r="BW3" s="1">
        <v>0.0</v>
      </c>
      <c r="BX3" s="1">
        <v>0.0</v>
      </c>
      <c r="BY3" s="1">
        <v>1.0</v>
      </c>
      <c r="BZ3" s="1">
        <v>0.0</v>
      </c>
      <c r="CA3" s="1">
        <v>0.0</v>
      </c>
      <c r="CB3" s="1">
        <v>1.0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1.0</v>
      </c>
      <c r="CK3" s="1">
        <v>1.0</v>
      </c>
      <c r="CL3" s="1">
        <v>1.0</v>
      </c>
      <c r="CM3" s="1">
        <v>0.0</v>
      </c>
      <c r="CN3" s="1">
        <v>1.0</v>
      </c>
      <c r="CO3" s="1">
        <v>0.0</v>
      </c>
      <c r="CP3" s="1">
        <v>0.0</v>
      </c>
      <c r="CQ3" s="1">
        <v>0.0</v>
      </c>
      <c r="CR3" s="1">
        <v>1.0</v>
      </c>
      <c r="CS3" s="1">
        <v>0.0</v>
      </c>
      <c r="CT3" s="1">
        <v>1.0</v>
      </c>
      <c r="CU3" s="1">
        <v>1.0</v>
      </c>
      <c r="CV3" s="1">
        <v>1.0</v>
      </c>
      <c r="CW3" s="1">
        <v>0.0</v>
      </c>
      <c r="CX3" s="1">
        <v>1.0</v>
      </c>
      <c r="CY3" s="1">
        <v>1.0</v>
      </c>
      <c r="CZ3" s="1">
        <v>0.0</v>
      </c>
      <c r="DA3" s="1">
        <v>1.0</v>
      </c>
      <c r="DB3" s="1">
        <v>1.0</v>
      </c>
      <c r="DC3" s="1">
        <v>1.0</v>
      </c>
      <c r="DD3" s="1">
        <v>1.0</v>
      </c>
      <c r="DE3" s="1">
        <v>0.0</v>
      </c>
      <c r="DF3" s="1">
        <v>1.0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1.0</v>
      </c>
      <c r="DM3" s="1">
        <v>1.0</v>
      </c>
      <c r="DN3" s="1">
        <v>0.0</v>
      </c>
      <c r="DO3" s="1">
        <v>0.0</v>
      </c>
      <c r="DP3" s="1">
        <v>0.0</v>
      </c>
      <c r="DQ3" s="1">
        <v>1.0</v>
      </c>
      <c r="DR3" s="1">
        <v>0.0</v>
      </c>
      <c r="DS3" s="1">
        <v>1.0</v>
      </c>
      <c r="DT3" s="1">
        <v>0.0</v>
      </c>
      <c r="DU3" s="1">
        <v>0.0</v>
      </c>
      <c r="DV3" s="1">
        <v>1.0</v>
      </c>
      <c r="DW3" s="1">
        <v>0.0</v>
      </c>
      <c r="DX3" s="1">
        <v>0.0</v>
      </c>
      <c r="DY3" s="1">
        <v>1.0</v>
      </c>
      <c r="DZ3" s="1">
        <v>1.0</v>
      </c>
      <c r="EA3" s="1">
        <v>1.0</v>
      </c>
      <c r="EB3" s="1">
        <v>1.0</v>
      </c>
      <c r="EC3" s="1">
        <v>1.0</v>
      </c>
      <c r="ED3" s="1">
        <v>1.0</v>
      </c>
      <c r="EE3" s="1">
        <v>1.0</v>
      </c>
      <c r="EF3" s="1">
        <v>0.0</v>
      </c>
      <c r="EG3" s="1">
        <v>0.0</v>
      </c>
      <c r="EH3" s="1">
        <v>1.0</v>
      </c>
      <c r="EI3" s="1">
        <v>0.0</v>
      </c>
      <c r="EJ3" s="1">
        <v>1.0</v>
      </c>
      <c r="EK3" s="1">
        <v>0.0</v>
      </c>
      <c r="EL3" s="1">
        <v>0.0</v>
      </c>
      <c r="EM3" s="1">
        <v>0.0</v>
      </c>
      <c r="EN3" s="1">
        <v>1.0</v>
      </c>
      <c r="EO3" s="1">
        <v>1.0</v>
      </c>
      <c r="EP3" s="1">
        <v>1.0</v>
      </c>
      <c r="EQ3" s="1">
        <v>1.0</v>
      </c>
      <c r="ER3" s="1">
        <v>0.0</v>
      </c>
      <c r="ES3" s="1">
        <v>1.0</v>
      </c>
      <c r="ET3" s="1">
        <v>0.0</v>
      </c>
      <c r="EU3" s="4">
        <f t="shared" ref="EU3:EU10" si="1">SUM(C3:ET3)</f>
        <v>77</v>
      </c>
    </row>
    <row r="4">
      <c r="A4" s="1" t="s">
        <v>4</v>
      </c>
      <c r="B4" s="1" t="s">
        <v>3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1.0</v>
      </c>
      <c r="T4" s="1">
        <v>0.0</v>
      </c>
      <c r="U4" s="1">
        <v>0.0</v>
      </c>
      <c r="V4" s="1">
        <v>0.0</v>
      </c>
      <c r="W4" s="1">
        <v>1.0</v>
      </c>
      <c r="X4" s="1">
        <v>1.0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1.0</v>
      </c>
      <c r="AE4" s="1">
        <v>1.0</v>
      </c>
      <c r="AF4" s="1">
        <v>1.0</v>
      </c>
      <c r="AG4" s="1">
        <v>0.0</v>
      </c>
      <c r="AH4" s="1">
        <v>1.0</v>
      </c>
      <c r="AI4" s="1">
        <v>1.0</v>
      </c>
      <c r="AJ4" s="1">
        <v>1.0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1.0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1.0</v>
      </c>
      <c r="BM4" s="1">
        <v>1.0</v>
      </c>
      <c r="BN4" s="1">
        <v>0.0</v>
      </c>
      <c r="BO4" s="1">
        <v>1.0</v>
      </c>
      <c r="BP4" s="1">
        <v>1.0</v>
      </c>
      <c r="BQ4" s="1">
        <v>0.0</v>
      </c>
      <c r="BR4" s="1">
        <v>1.0</v>
      </c>
      <c r="BS4" s="1">
        <v>0.0</v>
      </c>
      <c r="BT4" s="1">
        <v>1.0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1.0</v>
      </c>
      <c r="CE4" s="1">
        <v>0.0</v>
      </c>
      <c r="CF4" s="1">
        <v>0.0</v>
      </c>
      <c r="CG4" s="1">
        <v>0.0</v>
      </c>
      <c r="CH4" s="1">
        <v>1.0</v>
      </c>
      <c r="CI4" s="1">
        <v>1.0</v>
      </c>
      <c r="CJ4" s="1">
        <v>1.0</v>
      </c>
      <c r="CK4" s="1">
        <v>1.0</v>
      </c>
      <c r="CL4" s="1">
        <v>1.0</v>
      </c>
      <c r="CM4" s="1">
        <v>0.0</v>
      </c>
      <c r="CN4" s="1">
        <v>1.0</v>
      </c>
      <c r="CO4" s="1">
        <v>1.0</v>
      </c>
      <c r="CP4" s="1">
        <v>0.0</v>
      </c>
      <c r="CQ4" s="1">
        <v>1.0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1.0</v>
      </c>
      <c r="DA4" s="1">
        <v>0.0</v>
      </c>
      <c r="DB4" s="1">
        <v>1.0</v>
      </c>
      <c r="DC4" s="1">
        <v>1.0</v>
      </c>
      <c r="DD4" s="1">
        <v>1.0</v>
      </c>
      <c r="DE4" s="1">
        <v>0.0</v>
      </c>
      <c r="DF4" s="1">
        <v>1.0</v>
      </c>
      <c r="DG4" s="1">
        <v>0.0</v>
      </c>
      <c r="DH4" s="1">
        <v>1.0</v>
      </c>
      <c r="DI4" s="1">
        <v>0.0</v>
      </c>
      <c r="DJ4" s="1">
        <v>1.0</v>
      </c>
      <c r="DK4" s="1">
        <v>1.0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1.0</v>
      </c>
      <c r="DR4" s="1">
        <v>0.0</v>
      </c>
      <c r="DS4" s="1">
        <v>0.0</v>
      </c>
      <c r="DT4" s="1">
        <v>1.0</v>
      </c>
      <c r="DU4" s="1">
        <v>0.0</v>
      </c>
      <c r="DV4" s="1">
        <v>1.0</v>
      </c>
      <c r="DW4" s="1">
        <v>0.0</v>
      </c>
      <c r="DX4" s="1">
        <v>1.0</v>
      </c>
      <c r="DY4" s="1">
        <v>1.0</v>
      </c>
      <c r="DZ4" s="1">
        <v>1.0</v>
      </c>
      <c r="EA4" s="1">
        <v>1.0</v>
      </c>
      <c r="EB4" s="1">
        <v>0.0</v>
      </c>
      <c r="EC4" s="1">
        <v>0.0</v>
      </c>
      <c r="ED4" s="1">
        <v>0.0</v>
      </c>
      <c r="EE4" s="1">
        <v>1.0</v>
      </c>
      <c r="EF4" s="1">
        <v>1.0</v>
      </c>
      <c r="EG4" s="1">
        <v>1.0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1.0</v>
      </c>
      <c r="EN4" s="1">
        <v>1.0</v>
      </c>
      <c r="EO4" s="1">
        <v>1.0</v>
      </c>
      <c r="EP4" s="1">
        <v>1.0</v>
      </c>
      <c r="EQ4" s="1">
        <v>0.0</v>
      </c>
      <c r="ER4" s="1">
        <v>0.0</v>
      </c>
      <c r="ES4" s="1">
        <v>1.0</v>
      </c>
      <c r="ET4" s="1">
        <v>0.0</v>
      </c>
      <c r="EU4" s="4">
        <f t="shared" si="1"/>
        <v>49</v>
      </c>
    </row>
    <row r="5">
      <c r="A5" s="5" t="s">
        <v>5</v>
      </c>
      <c r="B5" s="5" t="s">
        <v>3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1.0</v>
      </c>
      <c r="X5" s="5">
        <v>0.0</v>
      </c>
      <c r="Y5" s="5">
        <v>1.0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1.0</v>
      </c>
      <c r="AF5" s="5">
        <v>0.0</v>
      </c>
      <c r="AG5" s="5">
        <v>0.0</v>
      </c>
      <c r="AH5" s="5">
        <v>0.0</v>
      </c>
      <c r="AI5" s="5">
        <v>1.0</v>
      </c>
      <c r="AJ5" s="5">
        <v>1.0</v>
      </c>
      <c r="AK5" s="5">
        <v>0.0</v>
      </c>
      <c r="AL5" s="5">
        <v>0.0</v>
      </c>
      <c r="AM5" s="5">
        <v>0.0</v>
      </c>
      <c r="AN5" s="5">
        <v>0.0</v>
      </c>
      <c r="AO5" s="5">
        <v>0.0</v>
      </c>
      <c r="AP5" s="5">
        <v>0.0</v>
      </c>
      <c r="AQ5" s="5">
        <v>0.0</v>
      </c>
      <c r="AR5" s="5">
        <v>0.0</v>
      </c>
      <c r="AS5" s="5">
        <v>0.0</v>
      </c>
      <c r="AT5" s="5">
        <v>0.0</v>
      </c>
      <c r="AU5" s="5">
        <v>0.0</v>
      </c>
      <c r="AV5" s="5">
        <v>0.0</v>
      </c>
      <c r="AW5" s="5">
        <v>0.0</v>
      </c>
      <c r="AX5" s="5">
        <v>0.0</v>
      </c>
      <c r="AY5" s="5">
        <v>0.0</v>
      </c>
      <c r="AZ5" s="5">
        <v>0.0</v>
      </c>
      <c r="BA5" s="5">
        <v>0.0</v>
      </c>
      <c r="BB5" s="5">
        <v>0.0</v>
      </c>
      <c r="BC5" s="5">
        <v>0.0</v>
      </c>
      <c r="BD5" s="5">
        <v>0.0</v>
      </c>
      <c r="BE5" s="5">
        <v>0.0</v>
      </c>
      <c r="BF5" s="5">
        <v>0.0</v>
      </c>
      <c r="BG5" s="5">
        <v>0.0</v>
      </c>
      <c r="BH5" s="5">
        <v>0.0</v>
      </c>
      <c r="BI5" s="5">
        <v>0.0</v>
      </c>
      <c r="BJ5" s="5">
        <v>0.0</v>
      </c>
      <c r="BK5" s="5">
        <v>0.0</v>
      </c>
      <c r="BL5" s="5">
        <v>0.0</v>
      </c>
      <c r="BM5" s="5">
        <v>0.0</v>
      </c>
      <c r="BN5" s="5">
        <v>0.0</v>
      </c>
      <c r="BO5" s="5">
        <v>0.0</v>
      </c>
      <c r="BP5" s="5">
        <v>0.0</v>
      </c>
      <c r="BQ5" s="5">
        <v>0.0</v>
      </c>
      <c r="BR5" s="5">
        <v>0.0</v>
      </c>
      <c r="BS5" s="5">
        <v>0.0</v>
      </c>
      <c r="BT5" s="5">
        <v>0.0</v>
      </c>
      <c r="BU5" s="5">
        <v>0.0</v>
      </c>
      <c r="BV5" s="5">
        <v>0.0</v>
      </c>
      <c r="BW5" s="5">
        <v>0.0</v>
      </c>
      <c r="BX5" s="5">
        <v>0.0</v>
      </c>
      <c r="BY5" s="5">
        <v>0.0</v>
      </c>
      <c r="BZ5" s="5">
        <v>0.0</v>
      </c>
      <c r="CA5" s="5">
        <v>0.0</v>
      </c>
      <c r="CB5" s="5">
        <v>0.0</v>
      </c>
      <c r="CC5" s="5">
        <v>0.0</v>
      </c>
      <c r="CD5" s="5">
        <v>0.0</v>
      </c>
      <c r="CE5" s="5">
        <v>0.0</v>
      </c>
      <c r="CF5" s="5">
        <v>0.0</v>
      </c>
      <c r="CG5" s="5">
        <v>0.0</v>
      </c>
      <c r="CH5" s="5">
        <v>0.0</v>
      </c>
      <c r="CI5" s="5">
        <v>0.0</v>
      </c>
      <c r="CJ5" s="5">
        <v>0.0</v>
      </c>
      <c r="CK5" s="5">
        <v>0.0</v>
      </c>
      <c r="CL5" s="5">
        <v>0.0</v>
      </c>
      <c r="CM5" s="5">
        <v>0.0</v>
      </c>
      <c r="CN5" s="5">
        <v>0.0</v>
      </c>
      <c r="CO5" s="5">
        <v>0.0</v>
      </c>
      <c r="CP5" s="5">
        <v>0.0</v>
      </c>
      <c r="CQ5" s="5">
        <v>0.0</v>
      </c>
      <c r="CR5" s="5">
        <v>0.0</v>
      </c>
      <c r="CS5" s="5">
        <v>0.0</v>
      </c>
      <c r="CT5" s="5">
        <v>0.0</v>
      </c>
      <c r="CU5" s="5">
        <v>0.0</v>
      </c>
      <c r="CV5" s="5">
        <v>0.0</v>
      </c>
      <c r="CW5" s="5">
        <v>0.0</v>
      </c>
      <c r="CX5" s="5">
        <v>0.0</v>
      </c>
      <c r="CY5" s="5">
        <v>0.0</v>
      </c>
      <c r="CZ5" s="5">
        <v>0.0</v>
      </c>
      <c r="DA5" s="5">
        <v>0.0</v>
      </c>
      <c r="DB5" s="5">
        <v>0.0</v>
      </c>
      <c r="DC5" s="5">
        <v>0.0</v>
      </c>
      <c r="DD5" s="5">
        <v>0.0</v>
      </c>
      <c r="DE5" s="5">
        <v>0.0</v>
      </c>
      <c r="DF5" s="5">
        <v>0.0</v>
      </c>
      <c r="DG5" s="5">
        <v>0.0</v>
      </c>
      <c r="DH5" s="5">
        <v>0.0</v>
      </c>
      <c r="DI5" s="5">
        <v>0.0</v>
      </c>
      <c r="DJ5" s="5">
        <v>0.0</v>
      </c>
      <c r="DK5" s="5">
        <v>0.0</v>
      </c>
      <c r="DL5" s="5">
        <v>0.0</v>
      </c>
      <c r="DM5" s="5">
        <v>0.0</v>
      </c>
      <c r="DN5" s="5">
        <v>0.0</v>
      </c>
      <c r="DO5" s="5">
        <v>0.0</v>
      </c>
      <c r="DP5" s="5">
        <v>0.0</v>
      </c>
      <c r="DQ5" s="5">
        <v>0.0</v>
      </c>
      <c r="DR5" s="5">
        <v>0.0</v>
      </c>
      <c r="DS5" s="5">
        <v>0.0</v>
      </c>
      <c r="DT5" s="5">
        <v>0.0</v>
      </c>
      <c r="DU5" s="5">
        <v>0.0</v>
      </c>
      <c r="DV5" s="5">
        <v>0.0</v>
      </c>
      <c r="DW5" s="5">
        <v>0.0</v>
      </c>
      <c r="DX5" s="5">
        <v>0.0</v>
      </c>
      <c r="DY5" s="5">
        <v>0.0</v>
      </c>
      <c r="DZ5" s="5">
        <v>0.0</v>
      </c>
      <c r="EA5" s="5">
        <v>0.0</v>
      </c>
      <c r="EB5" s="5">
        <v>0.0</v>
      </c>
      <c r="EC5" s="5">
        <v>0.0</v>
      </c>
      <c r="ED5" s="5">
        <v>0.0</v>
      </c>
      <c r="EE5" s="5">
        <v>0.0</v>
      </c>
      <c r="EF5" s="5">
        <v>0.0</v>
      </c>
      <c r="EG5" s="5">
        <v>0.0</v>
      </c>
      <c r="EH5" s="5">
        <v>0.0</v>
      </c>
      <c r="EI5" s="5">
        <v>0.0</v>
      </c>
      <c r="EJ5" s="5">
        <v>0.0</v>
      </c>
      <c r="EK5" s="5">
        <v>0.0</v>
      </c>
      <c r="EL5" s="5">
        <v>0.0</v>
      </c>
      <c r="EM5" s="5">
        <v>0.0</v>
      </c>
      <c r="EN5" s="5">
        <v>0.0</v>
      </c>
      <c r="EO5" s="5">
        <v>0.0</v>
      </c>
      <c r="EP5" s="5">
        <v>0.0</v>
      </c>
      <c r="EQ5" s="5">
        <v>0.0</v>
      </c>
      <c r="ER5" s="5">
        <v>0.0</v>
      </c>
      <c r="ES5" s="5">
        <v>0.0</v>
      </c>
      <c r="ET5" s="5">
        <v>0.0</v>
      </c>
      <c r="EU5" s="6">
        <f t="shared" si="1"/>
        <v>5</v>
      </c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</row>
    <row r="6">
      <c r="A6" s="1" t="s">
        <v>6</v>
      </c>
      <c r="B6" s="2" t="s">
        <v>11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1.0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1.0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4">
        <f t="shared" si="1"/>
        <v>2</v>
      </c>
    </row>
    <row r="7">
      <c r="A7" s="1" t="s">
        <v>7</v>
      </c>
      <c r="B7" s="2" t="s">
        <v>13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1.0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1.0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1.0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1.0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4">
        <f t="shared" si="1"/>
        <v>4</v>
      </c>
    </row>
    <row r="8">
      <c r="A8" s="1" t="s">
        <v>8</v>
      </c>
      <c r="B8" s="7" t="s">
        <v>15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1.0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1.0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1.0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4">
        <f t="shared" si="1"/>
        <v>3</v>
      </c>
    </row>
    <row r="9">
      <c r="A9" s="1" t="s">
        <v>9</v>
      </c>
      <c r="B9" s="1" t="s">
        <v>16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1.0</v>
      </c>
      <c r="AI9" s="1">
        <v>1.0</v>
      </c>
      <c r="AJ9" s="1">
        <v>1.0</v>
      </c>
      <c r="AK9" s="1">
        <v>0.0</v>
      </c>
      <c r="AL9" s="1">
        <v>1.0</v>
      </c>
      <c r="AM9" s="1">
        <v>1.0</v>
      </c>
      <c r="AN9" s="1">
        <v>1.0</v>
      </c>
      <c r="AO9" s="1">
        <v>1.0</v>
      </c>
      <c r="AP9" s="1">
        <v>1.0</v>
      </c>
      <c r="AQ9" s="1">
        <v>1.0</v>
      </c>
      <c r="AR9" s="1">
        <v>1.0</v>
      </c>
      <c r="AS9" s="1">
        <v>1.0</v>
      </c>
      <c r="AT9" s="1">
        <v>1.0</v>
      </c>
      <c r="AU9" s="1">
        <v>1.0</v>
      </c>
      <c r="AV9" s="1">
        <v>0.0</v>
      </c>
      <c r="AW9" s="1">
        <v>1.0</v>
      </c>
      <c r="AX9" s="1">
        <v>1.0</v>
      </c>
      <c r="AY9" s="1">
        <v>1.0</v>
      </c>
      <c r="AZ9" s="1">
        <v>1.0</v>
      </c>
      <c r="BA9" s="1">
        <v>1.0</v>
      </c>
      <c r="BB9" s="1">
        <v>1.0</v>
      </c>
      <c r="BC9" s="1">
        <v>0.0</v>
      </c>
      <c r="BD9" s="1">
        <v>1.0</v>
      </c>
      <c r="BE9" s="1">
        <v>0.0</v>
      </c>
      <c r="BF9" s="1">
        <v>1.0</v>
      </c>
      <c r="BG9" s="1">
        <v>1.0</v>
      </c>
      <c r="BH9" s="1">
        <v>1.0</v>
      </c>
      <c r="BI9" s="1">
        <v>0.0</v>
      </c>
      <c r="BJ9" s="1">
        <v>0.0</v>
      </c>
      <c r="BK9" s="1">
        <v>0.0</v>
      </c>
      <c r="BL9" s="1">
        <v>1.0</v>
      </c>
      <c r="BM9" s="1">
        <v>0.0</v>
      </c>
      <c r="BN9" s="1">
        <v>1.0</v>
      </c>
      <c r="BO9" s="1">
        <v>0.0</v>
      </c>
      <c r="BP9" s="1">
        <v>1.0</v>
      </c>
      <c r="BQ9" s="1">
        <v>1.0</v>
      </c>
      <c r="BR9" s="1">
        <v>1.0</v>
      </c>
      <c r="BS9" s="1">
        <v>1.0</v>
      </c>
      <c r="BT9" s="1">
        <v>1.0</v>
      </c>
      <c r="BU9" s="1">
        <v>1.0</v>
      </c>
      <c r="BV9" s="1">
        <v>0.0</v>
      </c>
      <c r="BW9" s="1">
        <v>0.0</v>
      </c>
      <c r="BX9" s="1">
        <v>0.0</v>
      </c>
      <c r="BY9" s="1">
        <v>1.0</v>
      </c>
      <c r="BZ9" s="1">
        <v>1.0</v>
      </c>
      <c r="CA9" s="1">
        <v>0.0</v>
      </c>
      <c r="CB9" s="1">
        <v>0.0</v>
      </c>
      <c r="CC9" s="1">
        <v>1.0</v>
      </c>
      <c r="CD9" s="1">
        <v>1.0</v>
      </c>
      <c r="CE9" s="1">
        <v>1.0</v>
      </c>
      <c r="CF9" s="1">
        <v>1.0</v>
      </c>
      <c r="CG9" s="1">
        <v>1.0</v>
      </c>
      <c r="CH9" s="1">
        <v>1.0</v>
      </c>
      <c r="CI9" s="1">
        <v>1.0</v>
      </c>
      <c r="CJ9" s="1">
        <v>1.0</v>
      </c>
      <c r="CK9" s="1">
        <v>0.0</v>
      </c>
      <c r="CL9" s="1">
        <v>0.0</v>
      </c>
      <c r="CM9" s="1">
        <v>1.0</v>
      </c>
      <c r="CN9" s="1">
        <v>1.0</v>
      </c>
      <c r="CO9" s="1">
        <v>1.0</v>
      </c>
      <c r="CP9" s="1">
        <v>1.0</v>
      </c>
      <c r="CQ9" s="1">
        <v>0.0</v>
      </c>
      <c r="CR9" s="1">
        <v>1.0</v>
      </c>
      <c r="CS9" s="1">
        <v>1.0</v>
      </c>
      <c r="CT9" s="1">
        <v>1.0</v>
      </c>
      <c r="CU9" s="1">
        <v>1.0</v>
      </c>
      <c r="CV9" s="1">
        <v>1.0</v>
      </c>
      <c r="CW9" s="1">
        <v>1.0</v>
      </c>
      <c r="CX9" s="1">
        <v>0.0</v>
      </c>
      <c r="CY9" s="1">
        <v>0.0</v>
      </c>
      <c r="CZ9" s="1">
        <v>0.0</v>
      </c>
      <c r="DA9" s="1">
        <v>1.0</v>
      </c>
      <c r="DB9" s="1">
        <v>1.0</v>
      </c>
      <c r="DC9" s="1">
        <v>1.0</v>
      </c>
      <c r="DD9" s="1">
        <v>1.0</v>
      </c>
      <c r="DE9" s="1">
        <v>0.0</v>
      </c>
      <c r="DF9" s="1">
        <v>1.0</v>
      </c>
      <c r="DG9" s="1">
        <v>1.0</v>
      </c>
      <c r="DH9" s="1">
        <v>1.0</v>
      </c>
      <c r="DI9" s="1">
        <v>1.0</v>
      </c>
      <c r="DJ9" s="1">
        <v>0.0</v>
      </c>
      <c r="DK9" s="1">
        <v>0.0</v>
      </c>
      <c r="DL9" s="1">
        <v>1.0</v>
      </c>
      <c r="DM9" s="1">
        <v>0.0</v>
      </c>
      <c r="DN9" s="1">
        <v>0.0</v>
      </c>
      <c r="DO9" s="1">
        <v>0.0</v>
      </c>
      <c r="DP9" s="1">
        <v>1.0</v>
      </c>
      <c r="DQ9" s="1">
        <v>1.0</v>
      </c>
      <c r="DR9" s="1">
        <v>1.0</v>
      </c>
      <c r="DS9" s="1">
        <v>1.0</v>
      </c>
      <c r="DT9" s="1">
        <v>1.0</v>
      </c>
      <c r="DU9" s="1">
        <v>1.0</v>
      </c>
      <c r="DV9" s="1">
        <v>0.0</v>
      </c>
      <c r="DW9" s="1">
        <v>1.0</v>
      </c>
      <c r="DX9" s="1">
        <v>1.0</v>
      </c>
      <c r="DY9" s="1">
        <v>1.0</v>
      </c>
      <c r="DZ9" s="1">
        <v>0.0</v>
      </c>
      <c r="EA9" s="1">
        <v>1.0</v>
      </c>
      <c r="EB9" s="1">
        <v>1.0</v>
      </c>
      <c r="EC9" s="1">
        <v>0.0</v>
      </c>
      <c r="ED9" s="1">
        <v>0.0</v>
      </c>
      <c r="EE9" s="1">
        <v>1.0</v>
      </c>
      <c r="EF9" s="1">
        <v>1.0</v>
      </c>
      <c r="EG9" s="1">
        <v>1.0</v>
      </c>
      <c r="EH9" s="1">
        <v>0.0</v>
      </c>
      <c r="EI9" s="1">
        <v>1.0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1.0</v>
      </c>
      <c r="EP9" s="1">
        <v>0.0</v>
      </c>
      <c r="EQ9" s="1">
        <v>1.0</v>
      </c>
      <c r="ER9" s="1">
        <v>1.0</v>
      </c>
      <c r="ES9" s="1">
        <v>1.0</v>
      </c>
      <c r="ET9" s="1">
        <v>0.0</v>
      </c>
      <c r="EU9" s="4">
        <f t="shared" si="1"/>
        <v>79</v>
      </c>
    </row>
    <row r="10">
      <c r="A10" s="1" t="s">
        <v>10</v>
      </c>
      <c r="B10" s="1" t="s">
        <v>17</v>
      </c>
      <c r="C10" s="1">
        <v>0.0</v>
      </c>
      <c r="D10" s="1">
        <v>0.0</v>
      </c>
      <c r="E10" s="1">
        <v>1.0</v>
      </c>
      <c r="F10" s="1">
        <v>0.0</v>
      </c>
      <c r="G10" s="1">
        <v>0.0</v>
      </c>
      <c r="H10" s="1">
        <v>0.0</v>
      </c>
      <c r="I10" s="1">
        <v>1.0</v>
      </c>
      <c r="J10" s="1">
        <v>1.0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1.0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0.0</v>
      </c>
      <c r="DL10" s="1">
        <v>0.0</v>
      </c>
      <c r="DM10" s="1">
        <v>0.0</v>
      </c>
      <c r="EU10" s="4">
        <f t="shared" si="1"/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</row>
    <row r="2">
      <c r="A2" s="1" t="s">
        <v>22</v>
      </c>
      <c r="B2" s="1" t="s">
        <v>23</v>
      </c>
    </row>
    <row r="3">
      <c r="A3" s="1" t="s">
        <v>24</v>
      </c>
      <c r="B3" s="1" t="s">
        <v>25</v>
      </c>
    </row>
    <row r="4">
      <c r="A4" s="1" t="s">
        <v>26</v>
      </c>
      <c r="B4" s="1" t="s">
        <v>27</v>
      </c>
    </row>
    <row r="5">
      <c r="A5" s="1" t="s">
        <v>28</v>
      </c>
      <c r="B5" s="1" t="s">
        <v>29</v>
      </c>
    </row>
    <row r="6">
      <c r="A6" s="1" t="s">
        <v>30</v>
      </c>
      <c r="B6" s="1" t="s">
        <v>31</v>
      </c>
    </row>
    <row r="7">
      <c r="A7" s="1" t="s">
        <v>32</v>
      </c>
      <c r="B7" s="1" t="s">
        <v>33</v>
      </c>
    </row>
    <row r="8">
      <c r="A8" s="1" t="s">
        <v>34</v>
      </c>
      <c r="B8" s="1" t="s">
        <v>35</v>
      </c>
    </row>
    <row r="9">
      <c r="A9" s="1" t="s">
        <v>36</v>
      </c>
      <c r="B9" s="1" t="s">
        <v>37</v>
      </c>
    </row>
    <row r="10">
      <c r="A10" s="1" t="s">
        <v>38</v>
      </c>
      <c r="B10" s="1" t="s">
        <v>39</v>
      </c>
    </row>
    <row r="11">
      <c r="A11" s="1" t="s">
        <v>40</v>
      </c>
      <c r="B11" s="1" t="s">
        <v>41</v>
      </c>
    </row>
    <row r="12">
      <c r="A12" s="1" t="s">
        <v>42</v>
      </c>
      <c r="B12" s="1" t="s">
        <v>43</v>
      </c>
    </row>
    <row r="13">
      <c r="A13" s="1" t="s">
        <v>44</v>
      </c>
      <c r="B13" s="1" t="s">
        <v>45</v>
      </c>
    </row>
    <row r="14">
      <c r="A14" s="1" t="s">
        <v>46</v>
      </c>
      <c r="B14" s="1" t="s">
        <v>47</v>
      </c>
    </row>
    <row r="15">
      <c r="A15" s="1" t="s">
        <v>48</v>
      </c>
      <c r="B15" s="1" t="s">
        <v>49</v>
      </c>
    </row>
    <row r="16">
      <c r="A16" s="1" t="s">
        <v>50</v>
      </c>
      <c r="B16" s="1" t="s">
        <v>51</v>
      </c>
    </row>
    <row r="17">
      <c r="A17" s="1" t="s">
        <v>52</v>
      </c>
      <c r="B17" s="1" t="s">
        <v>53</v>
      </c>
    </row>
    <row r="18">
      <c r="A18" s="1" t="s">
        <v>54</v>
      </c>
      <c r="B18" s="1" t="s">
        <v>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57</v>
      </c>
    </row>
    <row r="2">
      <c r="A2" s="1" t="s">
        <v>58</v>
      </c>
      <c r="B2" s="1" t="s">
        <v>59</v>
      </c>
    </row>
    <row r="3">
      <c r="A3" s="1" t="s">
        <v>60</v>
      </c>
      <c r="B3" s="1" t="s">
        <v>61</v>
      </c>
    </row>
    <row r="4">
      <c r="A4" s="1" t="s">
        <v>62</v>
      </c>
      <c r="B4" s="1" t="s">
        <v>63</v>
      </c>
    </row>
    <row r="5">
      <c r="A5" s="1" t="s">
        <v>64</v>
      </c>
      <c r="B5" s="1" t="s">
        <v>65</v>
      </c>
    </row>
    <row r="6">
      <c r="A6" s="1" t="s">
        <v>66</v>
      </c>
      <c r="B6" s="1" t="s">
        <v>67</v>
      </c>
    </row>
    <row r="7">
      <c r="A7" s="1" t="s">
        <v>68</v>
      </c>
      <c r="B7" s="1" t="s">
        <v>69</v>
      </c>
    </row>
    <row r="8">
      <c r="A8" s="1" t="s">
        <v>70</v>
      </c>
      <c r="B8" s="1" t="s">
        <v>71</v>
      </c>
    </row>
    <row r="9">
      <c r="A9" s="1" t="s">
        <v>72</v>
      </c>
      <c r="B9" s="1" t="s">
        <v>73</v>
      </c>
    </row>
    <row r="10">
      <c r="A10" s="1" t="s">
        <v>74</v>
      </c>
      <c r="B10" s="1" t="s">
        <v>75</v>
      </c>
    </row>
    <row r="11">
      <c r="A11" s="1" t="s">
        <v>76</v>
      </c>
      <c r="B11" s="1" t="s">
        <v>77</v>
      </c>
    </row>
    <row r="12">
      <c r="A12" s="1" t="s">
        <v>78</v>
      </c>
      <c r="B12" s="1" t="s">
        <v>79</v>
      </c>
    </row>
    <row r="13">
      <c r="A13" s="1" t="s">
        <v>80</v>
      </c>
      <c r="B13" s="1" t="s">
        <v>81</v>
      </c>
    </row>
    <row r="14">
      <c r="A14" s="1" t="s">
        <v>82</v>
      </c>
      <c r="B14" s="1" t="s">
        <v>83</v>
      </c>
    </row>
    <row r="15">
      <c r="A15" s="1" t="s">
        <v>84</v>
      </c>
      <c r="B15" s="1" t="s">
        <v>85</v>
      </c>
    </row>
    <row r="16">
      <c r="A16" s="1" t="s">
        <v>86</v>
      </c>
      <c r="B16" s="1" t="s">
        <v>87</v>
      </c>
    </row>
    <row r="17">
      <c r="A17" s="1" t="s">
        <v>88</v>
      </c>
      <c r="B17" s="1" t="s">
        <v>89</v>
      </c>
    </row>
    <row r="18">
      <c r="A18" s="1" t="s">
        <v>90</v>
      </c>
      <c r="B18" s="1" t="s">
        <v>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</row>
    <row r="2">
      <c r="A2" s="1" t="s">
        <v>94</v>
      </c>
      <c r="B2" s="1" t="s">
        <v>95</v>
      </c>
    </row>
    <row r="3">
      <c r="A3" s="1" t="s">
        <v>96</v>
      </c>
      <c r="B3" s="1" t="s">
        <v>97</v>
      </c>
    </row>
    <row r="4">
      <c r="A4" s="1" t="s">
        <v>98</v>
      </c>
      <c r="B4" s="1" t="s">
        <v>99</v>
      </c>
    </row>
    <row r="5">
      <c r="A5" s="1" t="s">
        <v>100</v>
      </c>
      <c r="B5" s="1" t="s">
        <v>101</v>
      </c>
    </row>
    <row r="6">
      <c r="A6" s="1" t="s">
        <v>102</v>
      </c>
      <c r="B6" s="1" t="s">
        <v>103</v>
      </c>
    </row>
    <row r="7">
      <c r="A7" s="1" t="s">
        <v>104</v>
      </c>
      <c r="B7" s="1" t="s">
        <v>105</v>
      </c>
    </row>
    <row r="8">
      <c r="A8" s="1" t="s">
        <v>106</v>
      </c>
      <c r="B8" s="1" t="s">
        <v>107</v>
      </c>
    </row>
    <row r="9">
      <c r="A9" s="1" t="s">
        <v>108</v>
      </c>
      <c r="B9" s="1" t="s">
        <v>109</v>
      </c>
    </row>
    <row r="10">
      <c r="A10" s="1" t="s">
        <v>110</v>
      </c>
      <c r="B10" s="1" t="s">
        <v>111</v>
      </c>
    </row>
    <row r="11">
      <c r="A11" s="1" t="s">
        <v>112</v>
      </c>
      <c r="B11" s="1" t="s">
        <v>113</v>
      </c>
    </row>
    <row r="12">
      <c r="A12" s="1" t="s">
        <v>114</v>
      </c>
      <c r="B12" s="1" t="s">
        <v>115</v>
      </c>
    </row>
    <row r="13">
      <c r="A13" s="1" t="s">
        <v>116</v>
      </c>
      <c r="B13" s="1" t="s">
        <v>117</v>
      </c>
    </row>
    <row r="14">
      <c r="A14" s="1" t="s">
        <v>118</v>
      </c>
      <c r="B14" s="1" t="s">
        <v>119</v>
      </c>
    </row>
    <row r="15">
      <c r="A15" s="1" t="s">
        <v>120</v>
      </c>
      <c r="B15" s="1" t="s">
        <v>121</v>
      </c>
    </row>
    <row r="16">
      <c r="A16" s="1" t="s">
        <v>122</v>
      </c>
      <c r="B16" s="1" t="s">
        <v>123</v>
      </c>
    </row>
    <row r="17">
      <c r="A17" s="1" t="s">
        <v>124</v>
      </c>
      <c r="B17" s="1" t="s">
        <v>125</v>
      </c>
    </row>
    <row r="18">
      <c r="A18" s="1" t="s">
        <v>126</v>
      </c>
      <c r="B18" s="1" t="s">
        <v>127</v>
      </c>
    </row>
    <row r="19">
      <c r="A19" s="1" t="s">
        <v>128</v>
      </c>
      <c r="B19" s="1" t="s">
        <v>129</v>
      </c>
    </row>
    <row r="20">
      <c r="A20" s="1" t="s">
        <v>130</v>
      </c>
      <c r="B20" s="1" t="s">
        <v>131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132</v>
      </c>
      <c r="B1" s="1" t="s">
        <v>133</v>
      </c>
    </row>
    <row r="2">
      <c r="A2" s="1" t="s">
        <v>134</v>
      </c>
      <c r="B2" s="1" t="s">
        <v>135</v>
      </c>
    </row>
    <row r="3">
      <c r="A3" s="1" t="s">
        <v>136</v>
      </c>
      <c r="B3" s="1" t="s">
        <v>137</v>
      </c>
    </row>
    <row r="4">
      <c r="A4" s="1" t="s">
        <v>138</v>
      </c>
      <c r="B4" s="1" t="s">
        <v>139</v>
      </c>
    </row>
    <row r="5">
      <c r="A5" s="1" t="s">
        <v>140</v>
      </c>
      <c r="B5" s="1" t="s">
        <v>141</v>
      </c>
    </row>
    <row r="6">
      <c r="A6" s="1" t="s">
        <v>142</v>
      </c>
      <c r="B6" s="1" t="s">
        <v>143</v>
      </c>
    </row>
    <row r="7">
      <c r="A7" s="1" t="s">
        <v>144</v>
      </c>
      <c r="B7" s="1" t="s">
        <v>145</v>
      </c>
    </row>
    <row r="8">
      <c r="A8" s="1" t="s">
        <v>146</v>
      </c>
      <c r="B8" s="1" t="s">
        <v>147</v>
      </c>
    </row>
    <row r="9">
      <c r="A9" s="1" t="s">
        <v>148</v>
      </c>
      <c r="B9" s="1" t="s">
        <v>149</v>
      </c>
    </row>
    <row r="10">
      <c r="A10" s="1" t="s">
        <v>150</v>
      </c>
      <c r="B10" s="1" t="s">
        <v>151</v>
      </c>
    </row>
    <row r="11">
      <c r="A11" s="1" t="s">
        <v>152</v>
      </c>
      <c r="B11" s="1" t="s">
        <v>153</v>
      </c>
    </row>
    <row r="12">
      <c r="A12" s="1" t="s">
        <v>154</v>
      </c>
      <c r="B12" s="1" t="s">
        <v>155</v>
      </c>
    </row>
    <row r="13">
      <c r="A13" s="1" t="s">
        <v>156</v>
      </c>
      <c r="B13" s="1" t="s">
        <v>157</v>
      </c>
    </row>
    <row r="14">
      <c r="A14" s="1" t="s">
        <v>158</v>
      </c>
      <c r="B14" s="1" t="s">
        <v>159</v>
      </c>
    </row>
    <row r="15">
      <c r="A15" s="1" t="s">
        <v>160</v>
      </c>
      <c r="B15" s="1" t="s">
        <v>161</v>
      </c>
    </row>
    <row r="16">
      <c r="A16" s="1" t="s">
        <v>162</v>
      </c>
      <c r="B16" s="1" t="s">
        <v>163</v>
      </c>
    </row>
    <row r="17">
      <c r="A17" s="1" t="s">
        <v>164</v>
      </c>
      <c r="B17" s="1" t="s">
        <v>165</v>
      </c>
    </row>
    <row r="18">
      <c r="A18" s="1" t="s">
        <v>166</v>
      </c>
      <c r="B18" s="1" t="s">
        <v>167</v>
      </c>
    </row>
    <row r="19">
      <c r="A19" s="1" t="s">
        <v>168</v>
      </c>
      <c r="B19" s="1" t="s">
        <v>169</v>
      </c>
    </row>
    <row r="20">
      <c r="A20" s="1" t="s">
        <v>170</v>
      </c>
      <c r="B20" s="1" t="s">
        <v>171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172</v>
      </c>
      <c r="B1" s="1" t="s">
        <v>173</v>
      </c>
    </row>
    <row r="2">
      <c r="A2" s="1" t="s">
        <v>174</v>
      </c>
      <c r="B2" s="1" t="s">
        <v>175</v>
      </c>
    </row>
    <row r="3">
      <c r="A3" s="1" t="s">
        <v>176</v>
      </c>
      <c r="B3" s="1" t="s">
        <v>177</v>
      </c>
    </row>
    <row r="4">
      <c r="A4" s="1" t="s">
        <v>178</v>
      </c>
      <c r="B4" s="1" t="s">
        <v>179</v>
      </c>
    </row>
    <row r="5">
      <c r="A5" s="1" t="s">
        <v>180</v>
      </c>
      <c r="B5" s="1" t="s">
        <v>181</v>
      </c>
    </row>
    <row r="6">
      <c r="A6" s="1" t="s">
        <v>182</v>
      </c>
      <c r="B6" s="1" t="s">
        <v>183</v>
      </c>
    </row>
    <row r="7">
      <c r="A7" s="1" t="s">
        <v>184</v>
      </c>
      <c r="B7" s="1" t="s">
        <v>185</v>
      </c>
    </row>
    <row r="8">
      <c r="A8" s="1" t="s">
        <v>186</v>
      </c>
      <c r="B8" s="1" t="s">
        <v>187</v>
      </c>
    </row>
    <row r="9">
      <c r="A9" s="1" t="s">
        <v>188</v>
      </c>
      <c r="B9" s="1" t="s">
        <v>189</v>
      </c>
    </row>
    <row r="10">
      <c r="A10" s="1" t="s">
        <v>190</v>
      </c>
      <c r="B10" s="1" t="s">
        <v>191</v>
      </c>
    </row>
    <row r="11">
      <c r="A11" s="1" t="s">
        <v>192</v>
      </c>
      <c r="B11" s="1" t="s">
        <v>193</v>
      </c>
    </row>
    <row r="12">
      <c r="A12" s="1" t="s">
        <v>194</v>
      </c>
      <c r="B12" s="1" t="s">
        <v>195</v>
      </c>
    </row>
    <row r="13">
      <c r="A13" s="1" t="s">
        <v>196</v>
      </c>
      <c r="B13" s="1" t="s">
        <v>197</v>
      </c>
    </row>
    <row r="14">
      <c r="A14" s="1" t="s">
        <v>198</v>
      </c>
      <c r="B14" s="1" t="s">
        <v>199</v>
      </c>
    </row>
    <row r="15">
      <c r="A15" s="1" t="s">
        <v>200</v>
      </c>
      <c r="B15" s="1" t="s">
        <v>201</v>
      </c>
    </row>
    <row r="16">
      <c r="A16" s="1" t="s">
        <v>202</v>
      </c>
      <c r="B16" s="1" t="s">
        <v>203</v>
      </c>
    </row>
    <row r="17">
      <c r="A17" s="1" t="s">
        <v>204</v>
      </c>
      <c r="B17" s="1" t="s">
        <v>205</v>
      </c>
    </row>
    <row r="18">
      <c r="A18" s="1" t="s">
        <v>206</v>
      </c>
      <c r="B18" s="1" t="s">
        <v>207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221</v>
      </c>
      <c r="B1" s="1" t="s">
        <v>224</v>
      </c>
    </row>
    <row r="2">
      <c r="A2" s="1" t="s">
        <v>227</v>
      </c>
      <c r="B2" s="1" t="s">
        <v>229</v>
      </c>
    </row>
    <row r="3">
      <c r="A3" s="1" t="s">
        <v>231</v>
      </c>
      <c r="B3" s="1" t="s">
        <v>233</v>
      </c>
    </row>
    <row r="4">
      <c r="A4" s="1" t="s">
        <v>235</v>
      </c>
      <c r="B4" s="1" t="s">
        <v>237</v>
      </c>
    </row>
    <row r="5">
      <c r="A5" s="1" t="s">
        <v>239</v>
      </c>
      <c r="B5" s="1" t="s">
        <v>241</v>
      </c>
    </row>
    <row r="6">
      <c r="A6" s="1" t="s">
        <v>244</v>
      </c>
      <c r="B6" s="1" t="s">
        <v>246</v>
      </c>
    </row>
    <row r="7">
      <c r="A7" s="1" t="s">
        <v>248</v>
      </c>
      <c r="B7" s="1" t="s">
        <v>251</v>
      </c>
    </row>
    <row r="8">
      <c r="A8" s="1" t="s">
        <v>254</v>
      </c>
      <c r="B8" s="1" t="s">
        <v>255</v>
      </c>
    </row>
    <row r="9">
      <c r="A9" s="1" t="s">
        <v>258</v>
      </c>
      <c r="B9" s="1" t="s">
        <v>260</v>
      </c>
    </row>
    <row r="10">
      <c r="A10" s="1" t="s">
        <v>262</v>
      </c>
      <c r="B10" s="1" t="s">
        <v>263</v>
      </c>
    </row>
    <row r="11">
      <c r="A11" s="1" t="s">
        <v>264</v>
      </c>
      <c r="B11" s="1" t="s">
        <v>265</v>
      </c>
    </row>
    <row r="12">
      <c r="A12" s="1" t="s">
        <v>266</v>
      </c>
      <c r="B12" s="1" t="s">
        <v>267</v>
      </c>
    </row>
    <row r="13">
      <c r="A13" s="1" t="s">
        <v>268</v>
      </c>
      <c r="B13" s="1" t="s">
        <v>269</v>
      </c>
    </row>
    <row r="14">
      <c r="A14" s="1" t="s">
        <v>270</v>
      </c>
      <c r="B14" s="1" t="s">
        <v>271</v>
      </c>
    </row>
    <row r="15">
      <c r="A15" s="1" t="s">
        <v>272</v>
      </c>
      <c r="B15" s="1" t="s">
        <v>273</v>
      </c>
    </row>
    <row r="16">
      <c r="A16" s="1" t="s">
        <v>274</v>
      </c>
      <c r="B16" s="1" t="s">
        <v>275</v>
      </c>
    </row>
    <row r="17">
      <c r="A17" s="1" t="s">
        <v>276</v>
      </c>
      <c r="B17" s="1" t="s">
        <v>277</v>
      </c>
    </row>
    <row r="18">
      <c r="A18" s="1" t="s">
        <v>278</v>
      </c>
      <c r="B18" s="1" t="s">
        <v>279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208</v>
      </c>
      <c r="B1" s="1" t="s">
        <v>209</v>
      </c>
    </row>
    <row r="2">
      <c r="A2" s="1" t="s">
        <v>210</v>
      </c>
      <c r="B2" s="1" t="s">
        <v>211</v>
      </c>
    </row>
    <row r="3">
      <c r="A3" s="1" t="s">
        <v>212</v>
      </c>
      <c r="B3" s="1" t="s">
        <v>213</v>
      </c>
    </row>
    <row r="4">
      <c r="A4" s="1" t="s">
        <v>214</v>
      </c>
      <c r="B4" s="1" t="s">
        <v>215</v>
      </c>
    </row>
    <row r="5">
      <c r="A5" s="1" t="s">
        <v>216</v>
      </c>
      <c r="B5" s="1" t="s">
        <v>217</v>
      </c>
    </row>
    <row r="6">
      <c r="A6" s="1" t="s">
        <v>218</v>
      </c>
      <c r="B6" s="1" t="s">
        <v>219</v>
      </c>
    </row>
    <row r="7">
      <c r="A7" s="1" t="s">
        <v>220</v>
      </c>
      <c r="B7" s="1" t="s">
        <v>222</v>
      </c>
    </row>
    <row r="8">
      <c r="A8" s="1" t="s">
        <v>223</v>
      </c>
      <c r="B8" s="1" t="s">
        <v>225</v>
      </c>
    </row>
    <row r="9">
      <c r="A9" s="1" t="s">
        <v>226</v>
      </c>
      <c r="B9" s="1" t="s">
        <v>228</v>
      </c>
    </row>
    <row r="10">
      <c r="A10" s="1" t="s">
        <v>230</v>
      </c>
      <c r="B10" s="1" t="s">
        <v>232</v>
      </c>
    </row>
    <row r="11">
      <c r="A11" s="1" t="s">
        <v>234</v>
      </c>
      <c r="B11" s="1" t="s">
        <v>236</v>
      </c>
    </row>
    <row r="12">
      <c r="A12" s="1" t="s">
        <v>238</v>
      </c>
      <c r="B12" s="1" t="s">
        <v>240</v>
      </c>
    </row>
    <row r="13">
      <c r="A13" s="1" t="s">
        <v>242</v>
      </c>
      <c r="B13" s="1" t="s">
        <v>243</v>
      </c>
    </row>
    <row r="14">
      <c r="A14" s="1" t="s">
        <v>245</v>
      </c>
      <c r="B14" s="1" t="s">
        <v>247</v>
      </c>
    </row>
    <row r="15">
      <c r="A15" s="1" t="s">
        <v>249</v>
      </c>
      <c r="B15" s="1" t="s">
        <v>250</v>
      </c>
    </row>
    <row r="16">
      <c r="A16" s="1" t="s">
        <v>252</v>
      </c>
      <c r="B16" s="1" t="s">
        <v>253</v>
      </c>
    </row>
    <row r="17">
      <c r="A17" s="1" t="s">
        <v>256</v>
      </c>
      <c r="B17" s="1" t="s">
        <v>257</v>
      </c>
    </row>
    <row r="18">
      <c r="A18" s="1" t="s">
        <v>259</v>
      </c>
      <c r="B18" s="1" t="s">
        <v>261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280</v>
      </c>
      <c r="B1" s="1" t="s">
        <v>281</v>
      </c>
    </row>
    <row r="2">
      <c r="A2" s="1" t="s">
        <v>282</v>
      </c>
      <c r="B2" s="1" t="s">
        <v>283</v>
      </c>
    </row>
    <row r="3">
      <c r="A3" s="1" t="s">
        <v>284</v>
      </c>
      <c r="B3" s="1" t="s">
        <v>285</v>
      </c>
    </row>
    <row r="4">
      <c r="A4" s="1" t="s">
        <v>286</v>
      </c>
      <c r="B4" s="1" t="s">
        <v>287</v>
      </c>
    </row>
    <row r="5">
      <c r="A5" s="1" t="s">
        <v>288</v>
      </c>
      <c r="B5" s="1" t="s">
        <v>289</v>
      </c>
    </row>
    <row r="6">
      <c r="A6" s="1" t="s">
        <v>290</v>
      </c>
      <c r="B6" s="1" t="s">
        <v>291</v>
      </c>
    </row>
    <row r="7">
      <c r="A7" s="1" t="s">
        <v>292</v>
      </c>
      <c r="B7" s="1" t="s">
        <v>293</v>
      </c>
    </row>
    <row r="8">
      <c r="A8" s="1" t="s">
        <v>294</v>
      </c>
      <c r="B8" s="1" t="s">
        <v>295</v>
      </c>
    </row>
    <row r="9">
      <c r="A9" s="1" t="s">
        <v>296</v>
      </c>
      <c r="B9" s="1" t="s">
        <v>297</v>
      </c>
    </row>
    <row r="10">
      <c r="A10" s="1" t="s">
        <v>298</v>
      </c>
      <c r="B10" s="1" t="s">
        <v>299</v>
      </c>
    </row>
    <row r="11">
      <c r="A11" s="1" t="s">
        <v>300</v>
      </c>
      <c r="B11" s="1" t="s">
        <v>301</v>
      </c>
    </row>
    <row r="12">
      <c r="A12" s="1" t="s">
        <v>302</v>
      </c>
      <c r="B12" s="1" t="s">
        <v>303</v>
      </c>
    </row>
    <row r="13">
      <c r="A13" s="1" t="s">
        <v>304</v>
      </c>
      <c r="B13" s="1" t="s">
        <v>305</v>
      </c>
    </row>
    <row r="14">
      <c r="A14" s="1" t="s">
        <v>306</v>
      </c>
      <c r="B14" s="1" t="s">
        <v>307</v>
      </c>
    </row>
    <row r="15">
      <c r="A15" s="1" t="s">
        <v>308</v>
      </c>
      <c r="B15" s="1" t="s">
        <v>309</v>
      </c>
    </row>
    <row r="16">
      <c r="A16" s="1" t="s">
        <v>310</v>
      </c>
      <c r="B16" s="1" t="s">
        <v>311</v>
      </c>
    </row>
    <row r="17">
      <c r="A17" s="1" t="s">
        <v>312</v>
      </c>
      <c r="B17" s="1" t="s">
        <v>313</v>
      </c>
    </row>
    <row r="18">
      <c r="A18" s="1" t="s">
        <v>314</v>
      </c>
      <c r="B18" s="1" t="s">
        <v>315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IFERROR(__xludf.DUMMYFUNCTION("({
  FILTER(AlunosAcertos!A:B, AlunosAcertos!A:A &lt;&gt; """")
})"),"Aluno")</f>
        <v>Aluno</v>
      </c>
      <c r="B1" s="4" t="str">
        <f>IFERROR(__xludf.DUMMYFUNCTION("""COMPUTED_VALUE"""),"Turma")</f>
        <v>Turma</v>
      </c>
      <c r="C1" s="4" t="str">
        <f>IFERROR(__xludf.DUMMYFUNCTION("TRANSPOSE({
  FILTER('Habilidades Portugues'!A:A, 'Habilidades Portugues'!A:A &lt;&gt; """");
  FILTER('Habilidades Matemática'!A:A, 'Habilidades Matemática'!A:A &lt;&gt; """");
  FILTER('Habilidades Ciências'!A:A, 'Habilidades Ciências'!A:A &lt;&gt; """");
  FILTER('Habil"&amp;"idades Geografia'!A:A, 'Habilidades Geografia'!A:A &lt;&gt; """");
  FILTER('Habilidades História'!A:A, 'Habilidades História'!A:A &lt;&gt; """");
  FILTER('Habilidades Artes'!A:A, 'Habilidades Artes'!A:A &lt;&gt; """");
  FILTER('Habilidades Ed.física'!A:A, 'Habilidades E"&amp;"d.física'!A:A &lt;&gt; """");
  FILTER('Habilidades Inglês'!A:A, 'Habilidades Inglês'!A:A &lt;&gt; """")
})"),"LP01")</f>
        <v>LP01</v>
      </c>
      <c r="D1" s="4" t="str">
        <f>IFERROR(__xludf.DUMMYFUNCTION("""COMPUTED_VALUE"""),"LP02")</f>
        <v>LP02</v>
      </c>
      <c r="E1" s="4" t="str">
        <f>IFERROR(__xludf.DUMMYFUNCTION("""COMPUTED_VALUE"""),"LP03")</f>
        <v>LP03</v>
      </c>
      <c r="F1" s="4" t="str">
        <f>IFERROR(__xludf.DUMMYFUNCTION("""COMPUTED_VALUE"""),"LP04")</f>
        <v>LP04</v>
      </c>
      <c r="G1" s="4" t="str">
        <f>IFERROR(__xludf.DUMMYFUNCTION("""COMPUTED_VALUE"""),"LP05")</f>
        <v>LP05</v>
      </c>
      <c r="H1" s="4" t="str">
        <f>IFERROR(__xludf.DUMMYFUNCTION("""COMPUTED_VALUE"""),"LP06")</f>
        <v>LP06</v>
      </c>
      <c r="I1" s="4" t="str">
        <f>IFERROR(__xludf.DUMMYFUNCTION("""COMPUTED_VALUE"""),"LP07")</f>
        <v>LP07</v>
      </c>
      <c r="J1" s="4" t="str">
        <f>IFERROR(__xludf.DUMMYFUNCTION("""COMPUTED_VALUE"""),"LP08")</f>
        <v>LP08</v>
      </c>
      <c r="K1" s="4" t="str">
        <f>IFERROR(__xludf.DUMMYFUNCTION("""COMPUTED_VALUE"""),"LP09")</f>
        <v>LP09</v>
      </c>
      <c r="L1" s="4" t="str">
        <f>IFERROR(__xludf.DUMMYFUNCTION("""COMPUTED_VALUE"""),"LP10")</f>
        <v>LP10</v>
      </c>
      <c r="M1" s="4" t="str">
        <f>IFERROR(__xludf.DUMMYFUNCTION("""COMPUTED_VALUE"""),"LP11")</f>
        <v>LP11</v>
      </c>
      <c r="N1" s="4" t="str">
        <f>IFERROR(__xludf.DUMMYFUNCTION("""COMPUTED_VALUE"""),"LP12")</f>
        <v>LP12</v>
      </c>
      <c r="O1" s="4" t="str">
        <f>IFERROR(__xludf.DUMMYFUNCTION("""COMPUTED_VALUE"""),"LP13")</f>
        <v>LP13</v>
      </c>
      <c r="P1" s="4" t="str">
        <f>IFERROR(__xludf.DUMMYFUNCTION("""COMPUTED_VALUE"""),"LP14")</f>
        <v>LP14</v>
      </c>
      <c r="Q1" s="4" t="str">
        <f>IFERROR(__xludf.DUMMYFUNCTION("""COMPUTED_VALUE"""),"LP15")</f>
        <v>LP15</v>
      </c>
      <c r="R1" s="4" t="str">
        <f>IFERROR(__xludf.DUMMYFUNCTION("""COMPUTED_VALUE"""),"LP16")</f>
        <v>LP16</v>
      </c>
      <c r="S1" s="4" t="str">
        <f>IFERROR(__xludf.DUMMYFUNCTION("""COMPUTED_VALUE"""),"LP17")</f>
        <v>LP17</v>
      </c>
      <c r="T1" s="4" t="str">
        <f>IFERROR(__xludf.DUMMYFUNCTION("""COMPUTED_VALUE"""),"LP18")</f>
        <v>LP18</v>
      </c>
      <c r="U1" s="4" t="str">
        <f>IFERROR(__xludf.DUMMYFUNCTION("""COMPUTED_VALUE"""),"MT01")</f>
        <v>MT01</v>
      </c>
      <c r="V1" s="4" t="str">
        <f>IFERROR(__xludf.DUMMYFUNCTION("""COMPUTED_VALUE"""),"MT02")</f>
        <v>MT02</v>
      </c>
      <c r="W1" s="4" t="str">
        <f>IFERROR(__xludf.DUMMYFUNCTION("""COMPUTED_VALUE"""),"MT03")</f>
        <v>MT03</v>
      </c>
      <c r="X1" s="4" t="str">
        <f>IFERROR(__xludf.DUMMYFUNCTION("""COMPUTED_VALUE"""),"MT04")</f>
        <v>MT04</v>
      </c>
      <c r="Y1" s="4" t="str">
        <f>IFERROR(__xludf.DUMMYFUNCTION("""COMPUTED_VALUE"""),"MT05")</f>
        <v>MT05</v>
      </c>
      <c r="Z1" s="4" t="str">
        <f>IFERROR(__xludf.DUMMYFUNCTION("""COMPUTED_VALUE"""),"MT06")</f>
        <v>MT06</v>
      </c>
      <c r="AA1" s="4" t="str">
        <f>IFERROR(__xludf.DUMMYFUNCTION("""COMPUTED_VALUE"""),"MT07")</f>
        <v>MT07</v>
      </c>
      <c r="AB1" s="4" t="str">
        <f>IFERROR(__xludf.DUMMYFUNCTION("""COMPUTED_VALUE"""),"MT08")</f>
        <v>MT08</v>
      </c>
      <c r="AC1" s="4" t="str">
        <f>IFERROR(__xludf.DUMMYFUNCTION("""COMPUTED_VALUE"""),"MT09")</f>
        <v>MT09</v>
      </c>
      <c r="AD1" s="4" t="str">
        <f>IFERROR(__xludf.DUMMYFUNCTION("""COMPUTED_VALUE"""),"MT10")</f>
        <v>MT10</v>
      </c>
      <c r="AE1" s="4" t="str">
        <f>IFERROR(__xludf.DUMMYFUNCTION("""COMPUTED_VALUE"""),"MT11")</f>
        <v>MT11</v>
      </c>
      <c r="AF1" s="4" t="str">
        <f>IFERROR(__xludf.DUMMYFUNCTION("""COMPUTED_VALUE"""),"MT12")</f>
        <v>MT12</v>
      </c>
      <c r="AG1" s="4" t="str">
        <f>IFERROR(__xludf.DUMMYFUNCTION("""COMPUTED_VALUE"""),"MT13")</f>
        <v>MT13</v>
      </c>
      <c r="AH1" s="4" t="str">
        <f>IFERROR(__xludf.DUMMYFUNCTION("""COMPUTED_VALUE"""),"MT14")</f>
        <v>MT14</v>
      </c>
      <c r="AI1" s="4" t="str">
        <f>IFERROR(__xludf.DUMMYFUNCTION("""COMPUTED_VALUE"""),"MT15")</f>
        <v>MT15</v>
      </c>
      <c r="AJ1" s="4" t="str">
        <f>IFERROR(__xludf.DUMMYFUNCTION("""COMPUTED_VALUE"""),"MT16")</f>
        <v>MT16</v>
      </c>
      <c r="AK1" s="4" t="str">
        <f>IFERROR(__xludf.DUMMYFUNCTION("""COMPUTED_VALUE"""),"MT17")</f>
        <v>MT17</v>
      </c>
      <c r="AL1" s="4" t="str">
        <f>IFERROR(__xludf.DUMMYFUNCTION("""COMPUTED_VALUE"""),"MT18")</f>
        <v>MT18</v>
      </c>
      <c r="AM1" s="4" t="str">
        <f>IFERROR(__xludf.DUMMYFUNCTION("""COMPUTED_VALUE"""),"MT19")</f>
        <v>MT19</v>
      </c>
      <c r="AN1" s="4" t="str">
        <f>IFERROR(__xludf.DUMMYFUNCTION("""COMPUTED_VALUE"""),"MT20")</f>
        <v>MT20</v>
      </c>
      <c r="AO1" s="4" t="str">
        <f>IFERROR(__xludf.DUMMYFUNCTION("""COMPUTED_VALUE"""),"SCI01")</f>
        <v>SCI01</v>
      </c>
      <c r="AP1" s="4" t="str">
        <f>IFERROR(__xludf.DUMMYFUNCTION("""COMPUTED_VALUE"""),"SCI02")</f>
        <v>SCI02</v>
      </c>
      <c r="AQ1" s="4" t="str">
        <f>IFERROR(__xludf.DUMMYFUNCTION("""COMPUTED_VALUE"""),"SCI03")</f>
        <v>SCI03</v>
      </c>
      <c r="AR1" s="4" t="str">
        <f>IFERROR(__xludf.DUMMYFUNCTION("""COMPUTED_VALUE"""),"SCI04")</f>
        <v>SCI04</v>
      </c>
      <c r="AS1" s="4" t="str">
        <f>IFERROR(__xludf.DUMMYFUNCTION("""COMPUTED_VALUE"""),"SCI05")</f>
        <v>SCI05</v>
      </c>
      <c r="AT1" s="4" t="str">
        <f>IFERROR(__xludf.DUMMYFUNCTION("""COMPUTED_VALUE"""),"SCI06")</f>
        <v>SCI06</v>
      </c>
      <c r="AU1" s="4" t="str">
        <f>IFERROR(__xludf.DUMMYFUNCTION("""COMPUTED_VALUE"""),"SCI07")</f>
        <v>SCI07</v>
      </c>
      <c r="AV1" s="4" t="str">
        <f>IFERROR(__xludf.DUMMYFUNCTION("""COMPUTED_VALUE"""),"SCI08")</f>
        <v>SCI08</v>
      </c>
      <c r="AW1" s="4" t="str">
        <f>IFERROR(__xludf.DUMMYFUNCTION("""COMPUTED_VALUE"""),"SCI09")</f>
        <v>SCI09</v>
      </c>
      <c r="AX1" s="4" t="str">
        <f>IFERROR(__xludf.DUMMYFUNCTION("""COMPUTED_VALUE"""),"SCI10")</f>
        <v>SCI10</v>
      </c>
      <c r="AY1" s="4" t="str">
        <f>IFERROR(__xludf.DUMMYFUNCTION("""COMPUTED_VALUE"""),"SCI11")</f>
        <v>SCI11</v>
      </c>
      <c r="AZ1" s="4" t="str">
        <f>IFERROR(__xludf.DUMMYFUNCTION("""COMPUTED_VALUE"""),"SCI12")</f>
        <v>SCI12</v>
      </c>
      <c r="BA1" s="4" t="str">
        <f>IFERROR(__xludf.DUMMYFUNCTION("""COMPUTED_VALUE"""),"SCI13")</f>
        <v>SCI13</v>
      </c>
      <c r="BB1" s="4" t="str">
        <f>IFERROR(__xludf.DUMMYFUNCTION("""COMPUTED_VALUE"""),"SCI14")</f>
        <v>SCI14</v>
      </c>
      <c r="BC1" s="4" t="str">
        <f>IFERROR(__xludf.DUMMYFUNCTION("""COMPUTED_VALUE"""),"SCI15")</f>
        <v>SCI15</v>
      </c>
      <c r="BD1" s="4" t="str">
        <f>IFERROR(__xludf.DUMMYFUNCTION("""COMPUTED_VALUE"""),"SCI16")</f>
        <v>SCI16</v>
      </c>
      <c r="BE1" s="4" t="str">
        <f>IFERROR(__xludf.DUMMYFUNCTION("""COMPUTED_VALUE"""),"SCI17")</f>
        <v>SCI17</v>
      </c>
      <c r="BF1" s="4" t="str">
        <f>IFERROR(__xludf.DUMMYFUNCTION("""COMPUTED_VALUE"""),"SCI18")</f>
        <v>SCI18</v>
      </c>
      <c r="BG1" s="4" t="str">
        <f>IFERROR(__xludf.DUMMYFUNCTION("""COMPUTED_VALUE"""),"SCI19")</f>
        <v>SCI19</v>
      </c>
      <c r="BH1" s="4" t="str">
        <f>IFERROR(__xludf.DUMMYFUNCTION("""COMPUTED_VALUE"""),"SCI20")</f>
        <v>SCI20</v>
      </c>
      <c r="BI1" s="4" t="str">
        <f>IFERROR(__xludf.DUMMYFUNCTION("""COMPUTED_VALUE"""),"GEO01")</f>
        <v>GEO01</v>
      </c>
      <c r="BJ1" s="4" t="str">
        <f>IFERROR(__xludf.DUMMYFUNCTION("""COMPUTED_VALUE"""),"GEO02")</f>
        <v>GEO02</v>
      </c>
      <c r="BK1" s="4" t="str">
        <f>IFERROR(__xludf.DUMMYFUNCTION("""COMPUTED_VALUE"""),"GEO03")</f>
        <v>GEO03</v>
      </c>
      <c r="BL1" s="4" t="str">
        <f>IFERROR(__xludf.DUMMYFUNCTION("""COMPUTED_VALUE"""),"GEO04")</f>
        <v>GEO04</v>
      </c>
      <c r="BM1" s="4" t="str">
        <f>IFERROR(__xludf.DUMMYFUNCTION("""COMPUTED_VALUE"""),"GEO05")</f>
        <v>GEO05</v>
      </c>
      <c r="BN1" s="4" t="str">
        <f>IFERROR(__xludf.DUMMYFUNCTION("""COMPUTED_VALUE"""),"GEO06")</f>
        <v>GEO06</v>
      </c>
      <c r="BO1" s="4" t="str">
        <f>IFERROR(__xludf.DUMMYFUNCTION("""COMPUTED_VALUE"""),"GEO07")</f>
        <v>GEO07</v>
      </c>
      <c r="BP1" s="4" t="str">
        <f>IFERROR(__xludf.DUMMYFUNCTION("""COMPUTED_VALUE"""),"GEO08")</f>
        <v>GEO08</v>
      </c>
      <c r="BQ1" s="4" t="str">
        <f>IFERROR(__xludf.DUMMYFUNCTION("""COMPUTED_VALUE"""),"GEO09")</f>
        <v>GEO09</v>
      </c>
      <c r="BR1" s="4" t="str">
        <f>IFERROR(__xludf.DUMMYFUNCTION("""COMPUTED_VALUE"""),"GEO10")</f>
        <v>GEO10</v>
      </c>
      <c r="BS1" s="4" t="str">
        <f>IFERROR(__xludf.DUMMYFUNCTION("""COMPUTED_VALUE"""),"GEO11")</f>
        <v>GEO11</v>
      </c>
      <c r="BT1" s="4" t="str">
        <f>IFERROR(__xludf.DUMMYFUNCTION("""COMPUTED_VALUE"""),"GEO12")</f>
        <v>GEO12</v>
      </c>
      <c r="BU1" s="4" t="str">
        <f>IFERROR(__xludf.DUMMYFUNCTION("""COMPUTED_VALUE"""),"GEO13")</f>
        <v>GEO13</v>
      </c>
      <c r="BV1" s="4" t="str">
        <f>IFERROR(__xludf.DUMMYFUNCTION("""COMPUTED_VALUE"""),"GEO14")</f>
        <v>GEO14</v>
      </c>
      <c r="BW1" s="4" t="str">
        <f>IFERROR(__xludf.DUMMYFUNCTION("""COMPUTED_VALUE"""),"GEO15")</f>
        <v>GEO15</v>
      </c>
      <c r="BX1" s="4" t="str">
        <f>IFERROR(__xludf.DUMMYFUNCTION("""COMPUTED_VALUE"""),"GEO16")</f>
        <v>GEO16</v>
      </c>
      <c r="BY1" s="4" t="str">
        <f>IFERROR(__xludf.DUMMYFUNCTION("""COMPUTED_VALUE"""),"GEO17")</f>
        <v>GEO17</v>
      </c>
      <c r="BZ1" s="4" t="str">
        <f>IFERROR(__xludf.DUMMYFUNCTION("""COMPUTED_VALUE"""),"GEO18")</f>
        <v>GEO18</v>
      </c>
      <c r="CA1" s="4" t="str">
        <f>IFERROR(__xludf.DUMMYFUNCTION("""COMPUTED_VALUE"""),"HIS01")</f>
        <v>HIS01</v>
      </c>
      <c r="CB1" s="4" t="str">
        <f>IFERROR(__xludf.DUMMYFUNCTION("""COMPUTED_VALUE"""),"HIS02")</f>
        <v>HIS02</v>
      </c>
      <c r="CC1" s="4" t="str">
        <f>IFERROR(__xludf.DUMMYFUNCTION("""COMPUTED_VALUE"""),"HIS03")</f>
        <v>HIS03</v>
      </c>
      <c r="CD1" s="4" t="str">
        <f>IFERROR(__xludf.DUMMYFUNCTION("""COMPUTED_VALUE"""),"HIS04")</f>
        <v>HIS04</v>
      </c>
      <c r="CE1" s="4" t="str">
        <f>IFERROR(__xludf.DUMMYFUNCTION("""COMPUTED_VALUE"""),"HIS05")</f>
        <v>HIS05</v>
      </c>
      <c r="CF1" s="4" t="str">
        <f>IFERROR(__xludf.DUMMYFUNCTION("""COMPUTED_VALUE"""),"HIS06")</f>
        <v>HIS06</v>
      </c>
      <c r="CG1" s="4" t="str">
        <f>IFERROR(__xludf.DUMMYFUNCTION("""COMPUTED_VALUE"""),"HIS07")</f>
        <v>HIS07</v>
      </c>
      <c r="CH1" s="4" t="str">
        <f>IFERROR(__xludf.DUMMYFUNCTION("""COMPUTED_VALUE"""),"HIS08")</f>
        <v>HIS08</v>
      </c>
      <c r="CI1" s="4" t="str">
        <f>IFERROR(__xludf.DUMMYFUNCTION("""COMPUTED_VALUE"""),"HIS09")</f>
        <v>HIS09</v>
      </c>
      <c r="CJ1" s="4" t="str">
        <f>IFERROR(__xludf.DUMMYFUNCTION("""COMPUTED_VALUE"""),"HIS10")</f>
        <v>HIS10</v>
      </c>
      <c r="CK1" s="4" t="str">
        <f>IFERROR(__xludf.DUMMYFUNCTION("""COMPUTED_VALUE"""),"HIS11")</f>
        <v>HIS11</v>
      </c>
      <c r="CL1" s="4" t="str">
        <f>IFERROR(__xludf.DUMMYFUNCTION("""COMPUTED_VALUE"""),"HIS12")</f>
        <v>HIS12</v>
      </c>
      <c r="CM1" s="4" t="str">
        <f>IFERROR(__xludf.DUMMYFUNCTION("""COMPUTED_VALUE"""),"HIS13")</f>
        <v>HIS13</v>
      </c>
      <c r="CN1" s="4" t="str">
        <f>IFERROR(__xludf.DUMMYFUNCTION("""COMPUTED_VALUE"""),"HIS14")</f>
        <v>HIS14</v>
      </c>
      <c r="CO1" s="4" t="str">
        <f>IFERROR(__xludf.DUMMYFUNCTION("""COMPUTED_VALUE"""),"HIS15")</f>
        <v>HIS15</v>
      </c>
      <c r="CP1" s="4" t="str">
        <f>IFERROR(__xludf.DUMMYFUNCTION("""COMPUTED_VALUE"""),"HIS16")</f>
        <v>HIS16</v>
      </c>
      <c r="CQ1" s="4" t="str">
        <f>IFERROR(__xludf.DUMMYFUNCTION("""COMPUTED_VALUE"""),"HIS17")</f>
        <v>HIS17</v>
      </c>
      <c r="CR1" s="4" t="str">
        <f>IFERROR(__xludf.DUMMYFUNCTION("""COMPUTED_VALUE"""),"HIS18")</f>
        <v>HIS18</v>
      </c>
      <c r="CS1" s="4" t="str">
        <f>IFERROR(__xludf.DUMMYFUNCTION("""COMPUTED_VALUE"""),"ART01")</f>
        <v>ART01</v>
      </c>
      <c r="CT1" s="4" t="str">
        <f>IFERROR(__xludf.DUMMYFUNCTION("""COMPUTED_VALUE"""),"ART02")</f>
        <v>ART02</v>
      </c>
      <c r="CU1" s="4" t="str">
        <f>IFERROR(__xludf.DUMMYFUNCTION("""COMPUTED_VALUE"""),"ART03")</f>
        <v>ART03</v>
      </c>
      <c r="CV1" s="4" t="str">
        <f>IFERROR(__xludf.DUMMYFUNCTION("""COMPUTED_VALUE"""),"ART04")</f>
        <v>ART04</v>
      </c>
      <c r="CW1" s="4" t="str">
        <f>IFERROR(__xludf.DUMMYFUNCTION("""COMPUTED_VALUE"""),"ART05")</f>
        <v>ART05</v>
      </c>
      <c r="CX1" s="4" t="str">
        <f>IFERROR(__xludf.DUMMYFUNCTION("""COMPUTED_VALUE"""),"ART06")</f>
        <v>ART06</v>
      </c>
      <c r="CY1" s="4" t="str">
        <f>IFERROR(__xludf.DUMMYFUNCTION("""COMPUTED_VALUE"""),"ART07")</f>
        <v>ART07</v>
      </c>
      <c r="CZ1" s="4" t="str">
        <f>IFERROR(__xludf.DUMMYFUNCTION("""COMPUTED_VALUE"""),"ART08")</f>
        <v>ART08</v>
      </c>
      <c r="DA1" s="4" t="str">
        <f>IFERROR(__xludf.DUMMYFUNCTION("""COMPUTED_VALUE"""),"ART09")</f>
        <v>ART09</v>
      </c>
      <c r="DB1" s="4" t="str">
        <f>IFERROR(__xludf.DUMMYFUNCTION("""COMPUTED_VALUE"""),"ART10")</f>
        <v>ART10</v>
      </c>
      <c r="DC1" s="4" t="str">
        <f>IFERROR(__xludf.DUMMYFUNCTION("""COMPUTED_VALUE"""),"ART11")</f>
        <v>ART11</v>
      </c>
      <c r="DD1" s="4" t="str">
        <f>IFERROR(__xludf.DUMMYFUNCTION("""COMPUTED_VALUE"""),"ART12")</f>
        <v>ART12</v>
      </c>
      <c r="DE1" s="4" t="str">
        <f>IFERROR(__xludf.DUMMYFUNCTION("""COMPUTED_VALUE"""),"ART13")</f>
        <v>ART13</v>
      </c>
      <c r="DF1" s="4" t="str">
        <f>IFERROR(__xludf.DUMMYFUNCTION("""COMPUTED_VALUE"""),"ART14")</f>
        <v>ART14</v>
      </c>
      <c r="DG1" s="4" t="str">
        <f>IFERROR(__xludf.DUMMYFUNCTION("""COMPUTED_VALUE"""),"ART15")</f>
        <v>ART15</v>
      </c>
      <c r="DH1" s="4" t="str">
        <f>IFERROR(__xludf.DUMMYFUNCTION("""COMPUTED_VALUE"""),"ART16")</f>
        <v>ART16</v>
      </c>
      <c r="DI1" s="4" t="str">
        <f>IFERROR(__xludf.DUMMYFUNCTION("""COMPUTED_VALUE"""),"ART17")</f>
        <v>ART17</v>
      </c>
      <c r="DJ1" s="4" t="str">
        <f>IFERROR(__xludf.DUMMYFUNCTION("""COMPUTED_VALUE"""),"ART18")</f>
        <v>ART18</v>
      </c>
      <c r="DK1" s="4" t="str">
        <f>IFERROR(__xludf.DUMMYFUNCTION("""COMPUTED_VALUE"""),"EF01")</f>
        <v>EF01</v>
      </c>
      <c r="DL1" s="4" t="str">
        <f>IFERROR(__xludf.DUMMYFUNCTION("""COMPUTED_VALUE"""),"EF02")</f>
        <v>EF02</v>
      </c>
      <c r="DM1" s="4" t="str">
        <f>IFERROR(__xludf.DUMMYFUNCTION("""COMPUTED_VALUE"""),"EF03")</f>
        <v>EF03</v>
      </c>
      <c r="DN1" s="4" t="str">
        <f>IFERROR(__xludf.DUMMYFUNCTION("""COMPUTED_VALUE"""),"EF04")</f>
        <v>EF04</v>
      </c>
      <c r="DO1" s="4" t="str">
        <f>IFERROR(__xludf.DUMMYFUNCTION("""COMPUTED_VALUE"""),"EF05")</f>
        <v>EF05</v>
      </c>
      <c r="DP1" s="4" t="str">
        <f>IFERROR(__xludf.DUMMYFUNCTION("""COMPUTED_VALUE"""),"EF06")</f>
        <v>EF06</v>
      </c>
      <c r="DQ1" s="4" t="str">
        <f>IFERROR(__xludf.DUMMYFUNCTION("""COMPUTED_VALUE"""),"EF07")</f>
        <v>EF07</v>
      </c>
      <c r="DR1" s="4" t="str">
        <f>IFERROR(__xludf.DUMMYFUNCTION("""COMPUTED_VALUE"""),"EF08")</f>
        <v>EF08</v>
      </c>
      <c r="DS1" s="4" t="str">
        <f>IFERROR(__xludf.DUMMYFUNCTION("""COMPUTED_VALUE"""),"EF09")</f>
        <v>EF09</v>
      </c>
      <c r="DT1" s="4" t="str">
        <f>IFERROR(__xludf.DUMMYFUNCTION("""COMPUTED_VALUE"""),"EF10")</f>
        <v>EF10</v>
      </c>
      <c r="DU1" s="4" t="str">
        <f>IFERROR(__xludf.DUMMYFUNCTION("""COMPUTED_VALUE"""),"EF11")</f>
        <v>EF11</v>
      </c>
      <c r="DV1" s="4" t="str">
        <f>IFERROR(__xludf.DUMMYFUNCTION("""COMPUTED_VALUE"""),"EF12")</f>
        <v>EF12</v>
      </c>
      <c r="DW1" s="4" t="str">
        <f>IFERROR(__xludf.DUMMYFUNCTION("""COMPUTED_VALUE"""),"EF13")</f>
        <v>EF13</v>
      </c>
      <c r="DX1" s="4" t="str">
        <f>IFERROR(__xludf.DUMMYFUNCTION("""COMPUTED_VALUE"""),"EF14")</f>
        <v>EF14</v>
      </c>
      <c r="DY1" s="4" t="str">
        <f>IFERROR(__xludf.DUMMYFUNCTION("""COMPUTED_VALUE"""),"EF15")</f>
        <v>EF15</v>
      </c>
      <c r="DZ1" s="4" t="str">
        <f>IFERROR(__xludf.DUMMYFUNCTION("""COMPUTED_VALUE"""),"EF16")</f>
        <v>EF16</v>
      </c>
      <c r="EA1" s="4" t="str">
        <f>IFERROR(__xludf.DUMMYFUNCTION("""COMPUTED_VALUE"""),"EF17")</f>
        <v>EF17</v>
      </c>
      <c r="EB1" s="4" t="str">
        <f>IFERROR(__xludf.DUMMYFUNCTION("""COMPUTED_VALUE"""),"EF18")</f>
        <v>EF18</v>
      </c>
      <c r="EC1" s="4" t="str">
        <f>IFERROR(__xludf.DUMMYFUNCTION("""COMPUTED_VALUE"""),"ENG01")</f>
        <v>ENG01</v>
      </c>
      <c r="ED1" s="4" t="str">
        <f>IFERROR(__xludf.DUMMYFUNCTION("""COMPUTED_VALUE"""),"ENG02")</f>
        <v>ENG02</v>
      </c>
      <c r="EE1" s="4" t="str">
        <f>IFERROR(__xludf.DUMMYFUNCTION("""COMPUTED_VALUE"""),"ENG03")</f>
        <v>ENG03</v>
      </c>
      <c r="EF1" s="4" t="str">
        <f>IFERROR(__xludf.DUMMYFUNCTION("""COMPUTED_VALUE"""),"ENG04")</f>
        <v>ENG04</v>
      </c>
      <c r="EG1" s="4" t="str">
        <f>IFERROR(__xludf.DUMMYFUNCTION("""COMPUTED_VALUE"""),"ENG05")</f>
        <v>ENG05</v>
      </c>
      <c r="EH1" s="4" t="str">
        <f>IFERROR(__xludf.DUMMYFUNCTION("""COMPUTED_VALUE"""),"ENG06")</f>
        <v>ENG06</v>
      </c>
      <c r="EI1" s="4" t="str">
        <f>IFERROR(__xludf.DUMMYFUNCTION("""COMPUTED_VALUE"""),"ENG07")</f>
        <v>ENG07</v>
      </c>
      <c r="EJ1" s="4" t="str">
        <f>IFERROR(__xludf.DUMMYFUNCTION("""COMPUTED_VALUE"""),"ENG08")</f>
        <v>ENG08</v>
      </c>
      <c r="EK1" s="4" t="str">
        <f>IFERROR(__xludf.DUMMYFUNCTION("""COMPUTED_VALUE"""),"ENG09")</f>
        <v>ENG09</v>
      </c>
      <c r="EL1" s="4" t="str">
        <f>IFERROR(__xludf.DUMMYFUNCTION("""COMPUTED_VALUE"""),"ENG10")</f>
        <v>ENG10</v>
      </c>
      <c r="EM1" s="4" t="str">
        <f>IFERROR(__xludf.DUMMYFUNCTION("""COMPUTED_VALUE"""),"ENG11")</f>
        <v>ENG11</v>
      </c>
      <c r="EN1" s="4" t="str">
        <f>IFERROR(__xludf.DUMMYFUNCTION("""COMPUTED_VALUE"""),"ENG12")</f>
        <v>ENG12</v>
      </c>
      <c r="EO1" s="4" t="str">
        <f>IFERROR(__xludf.DUMMYFUNCTION("""COMPUTED_VALUE"""),"ENG13")</f>
        <v>ENG13</v>
      </c>
      <c r="EP1" s="4" t="str">
        <f>IFERROR(__xludf.DUMMYFUNCTION("""COMPUTED_VALUE"""),"ENG14")</f>
        <v>ENG14</v>
      </c>
      <c r="EQ1" s="4" t="str">
        <f>IFERROR(__xludf.DUMMYFUNCTION("""COMPUTED_VALUE"""),"ENG15")</f>
        <v>ENG15</v>
      </c>
      <c r="ER1" s="4" t="str">
        <f>IFERROR(__xludf.DUMMYFUNCTION("""COMPUTED_VALUE"""),"ENG16")</f>
        <v>ENG16</v>
      </c>
      <c r="ES1" s="4" t="str">
        <f>IFERROR(__xludf.DUMMYFUNCTION("""COMPUTED_VALUE"""),"ENG17")</f>
        <v>ENG17</v>
      </c>
      <c r="ET1" s="4" t="str">
        <f>IFERROR(__xludf.DUMMYFUNCTION("""COMPUTED_VALUE"""),"ENG18")</f>
        <v>ENG18</v>
      </c>
    </row>
    <row r="2">
      <c r="A2" s="4" t="str">
        <f>IFERROR(__xludf.DUMMYFUNCTION("""COMPUTED_VALUE"""),"AB")</f>
        <v>AB</v>
      </c>
      <c r="B2" s="4" t="str">
        <f>IFERROR(__xludf.DUMMYFUNCTION("""COMPUTED_VALUE"""),"A")</f>
        <v>A</v>
      </c>
      <c r="C2" s="1">
        <f>IFERROR(__xludf.DUMMYFUNCTION("ARRAYFORMULA(
    IF(
    MMULT(
    FILTER(
        FILTER(
          IF(AlunosAcertos!C2:I1000="""","""",(AlunosAcertos!C2:I1000&gt;0)*1),
          AlunosAcertos!C2:I2&lt;&gt;""""
        ),
        AlunosAcertos!A2:A1000&lt;&gt;""""
      ),
      FILTER(
        FI"&amp;"LTER('Página1'!C3:ZZZ1000,'Página1'!ET3:ET1000&lt;&gt;""""),
        'Página1'!C3:ZZZ3&lt;&gt;""""
      )
    )=0,
    0,
    MMULT(
      FILTER(
        FILTER(
          IF(AlunosAcertos!C2:I1000="""","""",(AlunosAcertos!C2:I1000=2)*1),
          Alunos"&amp;"Acertos!C2:I2&lt;&gt;""""
        ),
        AlunosAcertos!A2:A1000&lt;&gt;""""
      ),
      FILTER(
        FILTER('Página1'!C3:ET1000,'Página1'!ET3:ET1000&lt;&gt;""""),
        'Página1'!C3:ET3&lt;&gt;""""
      )
    )
    /
    MMULT(
      FILTER(
        FILTER(
        "&amp;"  IF(AlunosAcertos!C2:I1000="""","""",(AlunosAcertos!C2:I1000&gt;0)*1),
          AlunosAcertos!C2:I2&lt;&gt;""""
        ),
        AlunosAcertos!A2:A1000&lt;&gt;""""
      ),
      FILTER(
        FILTER('Página1'!C3:ET1000,'Página1'!ET3:ET1000&lt;&gt;""""),
        'Página"&amp;"1'!C3:ET3&lt;&gt;""""
      )
    )
  )
)
        "),1.0)</f>
        <v>1</v>
      </c>
      <c r="D2" s="4">
        <f>IFERROR(__xludf.DUMMYFUNCTION("""COMPUTED_VALUE"""),1.0)</f>
        <v>1</v>
      </c>
      <c r="E2" s="4">
        <f>IFERROR(__xludf.DUMMYFUNCTION("""COMPUTED_VALUE"""),1.0)</f>
        <v>1</v>
      </c>
      <c r="F2" s="4">
        <f>IFERROR(__xludf.DUMMYFUNCTION("""COMPUTED_VALUE"""),1.0)</f>
        <v>1</v>
      </c>
      <c r="G2" s="4">
        <f>IFERROR(__xludf.DUMMYFUNCTION("""COMPUTED_VALUE"""),1.0)</f>
        <v>1</v>
      </c>
      <c r="H2" s="4">
        <f>IFERROR(__xludf.DUMMYFUNCTION("""COMPUTED_VALUE"""),0.0)</f>
        <v>0</v>
      </c>
      <c r="I2" s="4">
        <f>IFERROR(__xludf.DUMMYFUNCTION("""COMPUTED_VALUE"""),1.0)</f>
        <v>1</v>
      </c>
      <c r="J2" s="4">
        <f>IFERROR(__xludf.DUMMYFUNCTION("""COMPUTED_VALUE"""),0.5)</f>
        <v>0.5</v>
      </c>
      <c r="K2" s="4">
        <f>IFERROR(__xludf.DUMMYFUNCTION("""COMPUTED_VALUE"""),0.0)</f>
        <v>0</v>
      </c>
      <c r="L2" s="4">
        <f>IFERROR(__xludf.DUMMYFUNCTION("""COMPUTED_VALUE"""),1.0)</f>
        <v>1</v>
      </c>
      <c r="M2" s="4">
        <f>IFERROR(__xludf.DUMMYFUNCTION("""COMPUTED_VALUE"""),0.0)</f>
        <v>0</v>
      </c>
      <c r="N2" s="4">
        <f>IFERROR(__xludf.DUMMYFUNCTION("""COMPUTED_VALUE"""),1.0)</f>
        <v>1</v>
      </c>
      <c r="O2" s="4">
        <f>IFERROR(__xludf.DUMMYFUNCTION("""COMPUTED_VALUE"""),0.0)</f>
        <v>0</v>
      </c>
      <c r="P2" s="4">
        <f>IFERROR(__xludf.DUMMYFUNCTION("""COMPUTED_VALUE"""),1.0)</f>
        <v>1</v>
      </c>
      <c r="Q2" s="4">
        <f>IFERROR(__xludf.DUMMYFUNCTION("""COMPUTED_VALUE"""),0.0)</f>
        <v>0</v>
      </c>
      <c r="R2" s="4">
        <f>IFERROR(__xludf.DUMMYFUNCTION("""COMPUTED_VALUE"""),0.5)</f>
        <v>0.5</v>
      </c>
      <c r="S2" s="4">
        <f>IFERROR(__xludf.DUMMYFUNCTION("""COMPUTED_VALUE"""),0.0)</f>
        <v>0</v>
      </c>
      <c r="T2" s="4">
        <f>IFERROR(__xludf.DUMMYFUNCTION("""COMPUTED_VALUE"""),0.0)</f>
        <v>0</v>
      </c>
      <c r="U2" s="4">
        <f>IFERROR(__xludf.DUMMYFUNCTION("""COMPUTED_VALUE"""),1.0)</f>
        <v>1</v>
      </c>
      <c r="V2" s="4">
        <f>IFERROR(__xludf.DUMMYFUNCTION("""COMPUTED_VALUE"""),1.0)</f>
        <v>1</v>
      </c>
      <c r="W2" s="4">
        <f>IFERROR(__xludf.DUMMYFUNCTION("""COMPUTED_VALUE"""),0.6666666666666666)</f>
        <v>0.6666666667</v>
      </c>
      <c r="X2" s="4">
        <f>IFERROR(__xludf.DUMMYFUNCTION("""COMPUTED_VALUE"""),0.6666666666666666)</f>
        <v>0.6666666667</v>
      </c>
      <c r="Y2" s="4">
        <f>IFERROR(__xludf.DUMMYFUNCTION("""COMPUTED_VALUE"""),1.0)</f>
        <v>1</v>
      </c>
      <c r="Z2" s="4">
        <f>IFERROR(__xludf.DUMMYFUNCTION("""COMPUTED_VALUE"""),0.6666666666666666)</f>
        <v>0.6666666667</v>
      </c>
      <c r="AA2" s="4">
        <f>IFERROR(__xludf.DUMMYFUNCTION("""COMPUTED_VALUE"""),0.5)</f>
        <v>0.5</v>
      </c>
      <c r="AB2" s="4">
        <f>IFERROR(__xludf.DUMMYFUNCTION("""COMPUTED_VALUE"""),0.0)</f>
        <v>0</v>
      </c>
      <c r="AC2" s="4">
        <f>IFERROR(__xludf.DUMMYFUNCTION("""COMPUTED_VALUE"""),1.0)</f>
        <v>1</v>
      </c>
      <c r="AD2" s="4">
        <f>IFERROR(__xludf.DUMMYFUNCTION("""COMPUTED_VALUE"""),0.6666666666666666)</f>
        <v>0.6666666667</v>
      </c>
      <c r="AE2" s="4">
        <f>IFERROR(__xludf.DUMMYFUNCTION("""COMPUTED_VALUE"""),0.3333333333333333)</f>
        <v>0.3333333333</v>
      </c>
      <c r="AF2" s="4">
        <f>IFERROR(__xludf.DUMMYFUNCTION("""COMPUTED_VALUE"""),0.6666666666666666)</f>
        <v>0.6666666667</v>
      </c>
      <c r="AG2" s="4">
        <f>IFERROR(__xludf.DUMMYFUNCTION("""COMPUTED_VALUE"""),1.0)</f>
        <v>1</v>
      </c>
      <c r="AH2" s="4">
        <f>IFERROR(__xludf.DUMMYFUNCTION("""COMPUTED_VALUE"""),0.0)</f>
        <v>0</v>
      </c>
      <c r="AI2" s="4">
        <f>IFERROR(__xludf.DUMMYFUNCTION("""COMPUTED_VALUE"""),0.5)</f>
        <v>0.5</v>
      </c>
      <c r="AJ2" s="4">
        <f>IFERROR(__xludf.DUMMYFUNCTION("""COMPUTED_VALUE"""),0.6666666666666666)</f>
        <v>0.6666666667</v>
      </c>
      <c r="AK2" s="4">
        <f>IFERROR(__xludf.DUMMYFUNCTION("""COMPUTED_VALUE"""),0.0)</f>
        <v>0</v>
      </c>
      <c r="AL2" s="4">
        <f>IFERROR(__xludf.DUMMYFUNCTION("""COMPUTED_VALUE"""),0.0)</f>
        <v>0</v>
      </c>
      <c r="AM2" s="4">
        <f>IFERROR(__xludf.DUMMYFUNCTION("""COMPUTED_VALUE"""),0.0)</f>
        <v>0</v>
      </c>
      <c r="AN2" s="4">
        <f>IFERROR(__xludf.DUMMYFUNCTION("""COMPUTED_VALUE"""),0.6666666666666666)</f>
        <v>0.6666666667</v>
      </c>
      <c r="AO2" s="4">
        <f>IFERROR(__xludf.DUMMYFUNCTION("""COMPUTED_VALUE"""),0.0)</f>
        <v>0</v>
      </c>
      <c r="AP2" s="4">
        <f>IFERROR(__xludf.DUMMYFUNCTION("""COMPUTED_VALUE"""),0.5)</f>
        <v>0.5</v>
      </c>
      <c r="AQ2" s="4">
        <f>IFERROR(__xludf.DUMMYFUNCTION("""COMPUTED_VALUE"""),0.0)</f>
        <v>0</v>
      </c>
      <c r="AR2" s="4">
        <f>IFERROR(__xludf.DUMMYFUNCTION("""COMPUTED_VALUE"""),1.0)</f>
        <v>1</v>
      </c>
      <c r="AS2" s="4">
        <f>IFERROR(__xludf.DUMMYFUNCTION("""COMPUTED_VALUE"""),1.0)</f>
        <v>1</v>
      </c>
      <c r="AT2" s="4">
        <f>IFERROR(__xludf.DUMMYFUNCTION("""COMPUTED_VALUE"""),1.0)</f>
        <v>1</v>
      </c>
      <c r="AU2" s="4">
        <f>IFERROR(__xludf.DUMMYFUNCTION("""COMPUTED_VALUE"""),1.0)</f>
        <v>1</v>
      </c>
      <c r="AV2" s="4">
        <f>IFERROR(__xludf.DUMMYFUNCTION("""COMPUTED_VALUE"""),0.0)</f>
        <v>0</v>
      </c>
      <c r="AW2" s="4">
        <f>IFERROR(__xludf.DUMMYFUNCTION("""COMPUTED_VALUE"""),0.0)</f>
        <v>0</v>
      </c>
      <c r="AX2" s="4">
        <f>IFERROR(__xludf.DUMMYFUNCTION("""COMPUTED_VALUE"""),0.0)</f>
        <v>0</v>
      </c>
      <c r="AY2" s="4">
        <f>IFERROR(__xludf.DUMMYFUNCTION("""COMPUTED_VALUE"""),0.0)</f>
        <v>0</v>
      </c>
      <c r="AZ2" s="4">
        <f>IFERROR(__xludf.DUMMYFUNCTION("""COMPUTED_VALUE"""),1.0)</f>
        <v>1</v>
      </c>
      <c r="BA2" s="4">
        <f>IFERROR(__xludf.DUMMYFUNCTION("""COMPUTED_VALUE"""),0.0)</f>
        <v>0</v>
      </c>
      <c r="BB2" s="4">
        <f>IFERROR(__xludf.DUMMYFUNCTION("""COMPUTED_VALUE"""),0.5)</f>
        <v>0.5</v>
      </c>
      <c r="BC2" s="4">
        <f>IFERROR(__xludf.DUMMYFUNCTION("""COMPUTED_VALUE"""),1.0)</f>
        <v>1</v>
      </c>
      <c r="BD2" s="4">
        <f>IFERROR(__xludf.DUMMYFUNCTION("""COMPUTED_VALUE"""),0.0)</f>
        <v>0</v>
      </c>
      <c r="BE2" s="4">
        <f>IFERROR(__xludf.DUMMYFUNCTION("""COMPUTED_VALUE"""),0.5)</f>
        <v>0.5</v>
      </c>
      <c r="BF2" s="4">
        <f>IFERROR(__xludf.DUMMYFUNCTION("""COMPUTED_VALUE"""),0.0)</f>
        <v>0</v>
      </c>
      <c r="BG2" s="4">
        <f>IFERROR(__xludf.DUMMYFUNCTION("""COMPUTED_VALUE"""),1.0)</f>
        <v>1</v>
      </c>
      <c r="BH2" s="4">
        <f>IFERROR(__xludf.DUMMYFUNCTION("""COMPUTED_VALUE"""),1.0)</f>
        <v>1</v>
      </c>
      <c r="BI2" s="4">
        <f>IFERROR(__xludf.DUMMYFUNCTION("""COMPUTED_VALUE"""),0.0)</f>
        <v>0</v>
      </c>
      <c r="BJ2" s="4">
        <f>IFERROR(__xludf.DUMMYFUNCTION("""COMPUTED_VALUE"""),1.0)</f>
        <v>1</v>
      </c>
      <c r="BK2" s="4">
        <f>IFERROR(__xludf.DUMMYFUNCTION("""COMPUTED_VALUE"""),1.0)</f>
        <v>1</v>
      </c>
      <c r="BL2" s="4">
        <f>IFERROR(__xludf.DUMMYFUNCTION("""COMPUTED_VALUE"""),0.5)</f>
        <v>0.5</v>
      </c>
      <c r="BM2" s="4">
        <f>IFERROR(__xludf.DUMMYFUNCTION("""COMPUTED_VALUE"""),0.0)</f>
        <v>0</v>
      </c>
      <c r="BN2" s="4">
        <f>IFERROR(__xludf.DUMMYFUNCTION("""COMPUTED_VALUE"""),0.0)</f>
        <v>0</v>
      </c>
      <c r="BO2" s="4">
        <f>IFERROR(__xludf.DUMMYFUNCTION("""COMPUTED_VALUE"""),0.0)</f>
        <v>0</v>
      </c>
      <c r="BP2" s="4">
        <f>IFERROR(__xludf.DUMMYFUNCTION("""COMPUTED_VALUE"""),0.0)</f>
        <v>0</v>
      </c>
      <c r="BQ2" s="4">
        <f>IFERROR(__xludf.DUMMYFUNCTION("""COMPUTED_VALUE"""),0.0)</f>
        <v>0</v>
      </c>
      <c r="BR2" s="4">
        <f>IFERROR(__xludf.DUMMYFUNCTION("""COMPUTED_VALUE"""),0.6666666666666666)</f>
        <v>0.6666666667</v>
      </c>
      <c r="BS2" s="4">
        <f>IFERROR(__xludf.DUMMYFUNCTION("""COMPUTED_VALUE"""),1.0)</f>
        <v>1</v>
      </c>
      <c r="BT2" s="4">
        <f>IFERROR(__xludf.DUMMYFUNCTION("""COMPUTED_VALUE"""),0.0)</f>
        <v>0</v>
      </c>
      <c r="BU2" s="4">
        <f>IFERROR(__xludf.DUMMYFUNCTION("""COMPUTED_VALUE"""),0.0)</f>
        <v>0</v>
      </c>
      <c r="BV2" s="4">
        <f>IFERROR(__xludf.DUMMYFUNCTION("""COMPUTED_VALUE"""),1.0)</f>
        <v>1</v>
      </c>
      <c r="BW2" s="4">
        <f>IFERROR(__xludf.DUMMYFUNCTION("""COMPUTED_VALUE"""),0.0)</f>
        <v>0</v>
      </c>
      <c r="BX2" s="4">
        <f>IFERROR(__xludf.DUMMYFUNCTION("""COMPUTED_VALUE"""),0.0)</f>
        <v>0</v>
      </c>
      <c r="BY2" s="4">
        <f>IFERROR(__xludf.DUMMYFUNCTION("""COMPUTED_VALUE"""),1.0)</f>
        <v>1</v>
      </c>
      <c r="BZ2" s="4">
        <f>IFERROR(__xludf.DUMMYFUNCTION("""COMPUTED_VALUE"""),0.0)</f>
        <v>0</v>
      </c>
      <c r="CA2" s="4">
        <f>IFERROR(__xludf.DUMMYFUNCTION("""COMPUTED_VALUE"""),0.0)</f>
        <v>0</v>
      </c>
      <c r="CB2" s="4">
        <f>IFERROR(__xludf.DUMMYFUNCTION("""COMPUTED_VALUE"""),1.0)</f>
        <v>1</v>
      </c>
      <c r="CC2" s="4">
        <f>IFERROR(__xludf.DUMMYFUNCTION("""COMPUTED_VALUE"""),0.0)</f>
        <v>0</v>
      </c>
      <c r="CD2" s="4">
        <f>IFERROR(__xludf.DUMMYFUNCTION("""COMPUTED_VALUE"""),0.0)</f>
        <v>0</v>
      </c>
      <c r="CE2" s="4">
        <f>IFERROR(__xludf.DUMMYFUNCTION("""COMPUTED_VALUE"""),0.0)</f>
        <v>0</v>
      </c>
      <c r="CF2" s="4">
        <f>IFERROR(__xludf.DUMMYFUNCTION("""COMPUTED_VALUE"""),0.0)</f>
        <v>0</v>
      </c>
      <c r="CG2" s="4">
        <f>IFERROR(__xludf.DUMMYFUNCTION("""COMPUTED_VALUE"""),0.0)</f>
        <v>0</v>
      </c>
      <c r="CH2" s="4">
        <f>IFERROR(__xludf.DUMMYFUNCTION("""COMPUTED_VALUE"""),0.0)</f>
        <v>0</v>
      </c>
      <c r="CI2" s="4">
        <f>IFERROR(__xludf.DUMMYFUNCTION("""COMPUTED_VALUE"""),0.0)</f>
        <v>0</v>
      </c>
      <c r="CJ2" s="4">
        <f>IFERROR(__xludf.DUMMYFUNCTION("""COMPUTED_VALUE"""),0.5)</f>
        <v>0.5</v>
      </c>
      <c r="CK2" s="4">
        <f>IFERROR(__xludf.DUMMYFUNCTION("""COMPUTED_VALUE"""),0.3333333333333333)</f>
        <v>0.3333333333</v>
      </c>
      <c r="CL2" s="4">
        <f>IFERROR(__xludf.DUMMYFUNCTION("""COMPUTED_VALUE"""),0.5)</f>
        <v>0.5</v>
      </c>
      <c r="CM2" s="4">
        <f>IFERROR(__xludf.DUMMYFUNCTION("""COMPUTED_VALUE"""),0.0)</f>
        <v>0</v>
      </c>
      <c r="CN2" s="4">
        <f>IFERROR(__xludf.DUMMYFUNCTION("""COMPUTED_VALUE"""),0.3333333333333333)</f>
        <v>0.3333333333</v>
      </c>
      <c r="CO2" s="4">
        <f>IFERROR(__xludf.DUMMYFUNCTION("""COMPUTED_VALUE"""),0.0)</f>
        <v>0</v>
      </c>
      <c r="CP2" s="4">
        <f>IFERROR(__xludf.DUMMYFUNCTION("""COMPUTED_VALUE"""),0.0)</f>
        <v>0</v>
      </c>
      <c r="CQ2" s="4">
        <f>IFERROR(__xludf.DUMMYFUNCTION("""COMPUTED_VALUE"""),0.0)</f>
        <v>0</v>
      </c>
      <c r="CR2" s="4">
        <f>IFERROR(__xludf.DUMMYFUNCTION("""COMPUTED_VALUE"""),1.0)</f>
        <v>1</v>
      </c>
      <c r="CS2" s="4">
        <f>IFERROR(__xludf.DUMMYFUNCTION("""COMPUTED_VALUE"""),0.0)</f>
        <v>0</v>
      </c>
      <c r="CT2" s="4">
        <f>IFERROR(__xludf.DUMMYFUNCTION("""COMPUTED_VALUE"""),1.0)</f>
        <v>1</v>
      </c>
      <c r="CU2" s="4">
        <f>IFERROR(__xludf.DUMMYFUNCTION("""COMPUTED_VALUE"""),1.0)</f>
        <v>1</v>
      </c>
      <c r="CV2" s="4">
        <f>IFERROR(__xludf.DUMMYFUNCTION("""COMPUTED_VALUE"""),1.0)</f>
        <v>1</v>
      </c>
      <c r="CW2" s="4">
        <f>IFERROR(__xludf.DUMMYFUNCTION("""COMPUTED_VALUE"""),0.0)</f>
        <v>0</v>
      </c>
      <c r="CX2" s="4">
        <f>IFERROR(__xludf.DUMMYFUNCTION("""COMPUTED_VALUE"""),1.0)</f>
        <v>1</v>
      </c>
      <c r="CY2" s="4">
        <f>IFERROR(__xludf.DUMMYFUNCTION("""COMPUTED_VALUE"""),1.0)</f>
        <v>1</v>
      </c>
      <c r="CZ2" s="4">
        <f>IFERROR(__xludf.DUMMYFUNCTION("""COMPUTED_VALUE"""),0.5)</f>
        <v>0.5</v>
      </c>
      <c r="DA2" s="4">
        <f>IFERROR(__xludf.DUMMYFUNCTION("""COMPUTED_VALUE"""),1.0)</f>
        <v>1</v>
      </c>
      <c r="DB2" s="4">
        <f>IFERROR(__xludf.DUMMYFUNCTION("""COMPUTED_VALUE"""),0.3333333333333333)</f>
        <v>0.3333333333</v>
      </c>
      <c r="DC2" s="4">
        <f>IFERROR(__xludf.DUMMYFUNCTION("""COMPUTED_VALUE"""),0.5)</f>
        <v>0.5</v>
      </c>
      <c r="DD2" s="4">
        <f>IFERROR(__xludf.DUMMYFUNCTION("""COMPUTED_VALUE"""),0.5)</f>
        <v>0.5</v>
      </c>
      <c r="DE2" s="4">
        <f>IFERROR(__xludf.DUMMYFUNCTION("""COMPUTED_VALUE"""),0.0)</f>
        <v>0</v>
      </c>
      <c r="DF2" s="4">
        <f>IFERROR(__xludf.DUMMYFUNCTION("""COMPUTED_VALUE"""),0.5)</f>
        <v>0.5</v>
      </c>
      <c r="DG2" s="4">
        <f>IFERROR(__xludf.DUMMYFUNCTION("""COMPUTED_VALUE"""),0.0)</f>
        <v>0</v>
      </c>
      <c r="DH2" s="4">
        <f>IFERROR(__xludf.DUMMYFUNCTION("""COMPUTED_VALUE"""),0.0)</f>
        <v>0</v>
      </c>
      <c r="DI2" s="4">
        <f>IFERROR(__xludf.DUMMYFUNCTION("""COMPUTED_VALUE"""),0.0)</f>
        <v>0</v>
      </c>
      <c r="DJ2" s="4">
        <f>IFERROR(__xludf.DUMMYFUNCTION("""COMPUTED_VALUE"""),0.0)</f>
        <v>0</v>
      </c>
      <c r="DK2" s="4">
        <f>IFERROR(__xludf.DUMMYFUNCTION("""COMPUTED_VALUE"""),0.0)</f>
        <v>0</v>
      </c>
      <c r="DL2" s="4">
        <f>IFERROR(__xludf.DUMMYFUNCTION("""COMPUTED_VALUE"""),1.0)</f>
        <v>1</v>
      </c>
      <c r="DM2" s="4">
        <f>IFERROR(__xludf.DUMMYFUNCTION("""COMPUTED_VALUE"""),1.0)</f>
        <v>1</v>
      </c>
      <c r="DN2" s="4">
        <f>IFERROR(__xludf.DUMMYFUNCTION("""COMPUTED_VALUE"""),0.0)</f>
        <v>0</v>
      </c>
      <c r="DO2" s="4">
        <f>IFERROR(__xludf.DUMMYFUNCTION("""COMPUTED_VALUE"""),0.0)</f>
        <v>0</v>
      </c>
      <c r="DP2" s="4">
        <f>IFERROR(__xludf.DUMMYFUNCTION("""COMPUTED_VALUE"""),0.0)</f>
        <v>0</v>
      </c>
      <c r="DQ2" s="4">
        <f>IFERROR(__xludf.DUMMYFUNCTION("""COMPUTED_VALUE"""),0.5)</f>
        <v>0.5</v>
      </c>
      <c r="DR2" s="4">
        <f>IFERROR(__xludf.DUMMYFUNCTION("""COMPUTED_VALUE"""),0.0)</f>
        <v>0</v>
      </c>
      <c r="DS2" s="4">
        <f>IFERROR(__xludf.DUMMYFUNCTION("""COMPUTED_VALUE"""),1.0)</f>
        <v>1</v>
      </c>
      <c r="DT2" s="4">
        <f>IFERROR(__xludf.DUMMYFUNCTION("""COMPUTED_VALUE"""),0.0)</f>
        <v>0</v>
      </c>
      <c r="DU2" s="4">
        <f>IFERROR(__xludf.DUMMYFUNCTION("""COMPUTED_VALUE"""),0.0)</f>
        <v>0</v>
      </c>
      <c r="DV2" s="4">
        <f>IFERROR(__xludf.DUMMYFUNCTION("""COMPUTED_VALUE"""),0.5)</f>
        <v>0.5</v>
      </c>
      <c r="DW2" s="4">
        <f>IFERROR(__xludf.DUMMYFUNCTION("""COMPUTED_VALUE"""),0.0)</f>
        <v>0</v>
      </c>
      <c r="DX2" s="4">
        <f>IFERROR(__xludf.DUMMYFUNCTION("""COMPUTED_VALUE"""),0.0)</f>
        <v>0</v>
      </c>
      <c r="DY2" s="4">
        <f>IFERROR(__xludf.DUMMYFUNCTION("""COMPUTED_VALUE"""),0.5)</f>
        <v>0.5</v>
      </c>
      <c r="DZ2" s="4">
        <f>IFERROR(__xludf.DUMMYFUNCTION("""COMPUTED_VALUE"""),0.5)</f>
        <v>0.5</v>
      </c>
      <c r="EA2" s="4">
        <f>IFERROR(__xludf.DUMMYFUNCTION("""COMPUTED_VALUE"""),0.5)</f>
        <v>0.5</v>
      </c>
      <c r="EB2" s="4">
        <f>IFERROR(__xludf.DUMMYFUNCTION("""COMPUTED_VALUE"""),1.0)</f>
        <v>1</v>
      </c>
      <c r="EC2" s="4">
        <f>IFERROR(__xludf.DUMMYFUNCTION("""COMPUTED_VALUE"""),1.0)</f>
        <v>1</v>
      </c>
      <c r="ED2" s="4">
        <f>IFERROR(__xludf.DUMMYFUNCTION("""COMPUTED_VALUE"""),0.5)</f>
        <v>0.5</v>
      </c>
      <c r="EE2" s="4">
        <f>IFERROR(__xludf.DUMMYFUNCTION("""COMPUTED_VALUE"""),0.5)</f>
        <v>0.5</v>
      </c>
      <c r="EF2" s="4">
        <f>IFERROR(__xludf.DUMMYFUNCTION("""COMPUTED_VALUE"""),0.0)</f>
        <v>0</v>
      </c>
      <c r="EG2" s="4">
        <f>IFERROR(__xludf.DUMMYFUNCTION("""COMPUTED_VALUE"""),0.0)</f>
        <v>0</v>
      </c>
      <c r="EH2" s="4">
        <f>IFERROR(__xludf.DUMMYFUNCTION("""COMPUTED_VALUE"""),0.6666666666666666)</f>
        <v>0.6666666667</v>
      </c>
      <c r="EI2" s="4">
        <f>IFERROR(__xludf.DUMMYFUNCTION("""COMPUTED_VALUE"""),0.0)</f>
        <v>0</v>
      </c>
      <c r="EJ2" s="4">
        <f>IFERROR(__xludf.DUMMYFUNCTION("""COMPUTED_VALUE"""),1.0)</f>
        <v>1</v>
      </c>
      <c r="EK2" s="4">
        <f>IFERROR(__xludf.DUMMYFUNCTION("""COMPUTED_VALUE"""),0.0)</f>
        <v>0</v>
      </c>
      <c r="EL2" s="4">
        <f>IFERROR(__xludf.DUMMYFUNCTION("""COMPUTED_VALUE"""),1.0)</f>
        <v>1</v>
      </c>
      <c r="EM2" s="4">
        <f>IFERROR(__xludf.DUMMYFUNCTION("""COMPUTED_VALUE"""),0.0)</f>
        <v>0</v>
      </c>
      <c r="EN2" s="4">
        <f>IFERROR(__xludf.DUMMYFUNCTION("""COMPUTED_VALUE"""),0.3333333333333333)</f>
        <v>0.3333333333</v>
      </c>
      <c r="EO2" s="4">
        <f>IFERROR(__xludf.DUMMYFUNCTION("""COMPUTED_VALUE"""),0.5)</f>
        <v>0.5</v>
      </c>
      <c r="EP2" s="4">
        <f>IFERROR(__xludf.DUMMYFUNCTION("""COMPUTED_VALUE"""),0.5)</f>
        <v>0.5</v>
      </c>
      <c r="EQ2" s="4">
        <f>IFERROR(__xludf.DUMMYFUNCTION("""COMPUTED_VALUE"""),1.0)</f>
        <v>1</v>
      </c>
      <c r="ER2" s="4">
        <f>IFERROR(__xludf.DUMMYFUNCTION("""COMPUTED_VALUE"""),0.0)</f>
        <v>0</v>
      </c>
      <c r="ES2" s="4">
        <f>IFERROR(__xludf.DUMMYFUNCTION("""COMPUTED_VALUE"""),0.3333333333333333)</f>
        <v>0.3333333333</v>
      </c>
      <c r="ET2" s="4">
        <f>IFERROR(__xludf.DUMMYFUNCTION("""COMPUTED_VALUE"""),0.0)</f>
        <v>0</v>
      </c>
    </row>
    <row r="3">
      <c r="A3" s="4" t="str">
        <f>IFERROR(__xludf.DUMMYFUNCTION("""COMPUTED_VALUE"""),"AC")</f>
        <v>AC</v>
      </c>
      <c r="B3" s="4" t="str">
        <f>IFERROR(__xludf.DUMMYFUNCTION("""COMPUTED_VALUE"""),"B")</f>
        <v>B</v>
      </c>
      <c r="C3" s="4">
        <f>IFERROR(__xludf.DUMMYFUNCTION("""COMPUTED_VALUE"""),0.5)</f>
        <v>0.5</v>
      </c>
      <c r="D3" s="4">
        <f>IFERROR(__xludf.DUMMYFUNCTION("""COMPUTED_VALUE"""),0.0)</f>
        <v>0</v>
      </c>
      <c r="E3" s="4">
        <f>IFERROR(__xludf.DUMMYFUNCTION("""COMPUTED_VALUE"""),0.5)</f>
        <v>0.5</v>
      </c>
      <c r="F3" s="4">
        <f>IFERROR(__xludf.DUMMYFUNCTION("""COMPUTED_VALUE"""),0.0)</f>
        <v>0</v>
      </c>
      <c r="G3" s="4">
        <f>IFERROR(__xludf.DUMMYFUNCTION("""COMPUTED_VALUE"""),0.0)</f>
        <v>0</v>
      </c>
      <c r="H3" s="4">
        <f>IFERROR(__xludf.DUMMYFUNCTION("""COMPUTED_VALUE"""),0.0)</f>
        <v>0</v>
      </c>
      <c r="I3" s="4">
        <f>IFERROR(__xludf.DUMMYFUNCTION("""COMPUTED_VALUE"""),0.5)</f>
        <v>0.5</v>
      </c>
      <c r="J3" s="4">
        <f>IFERROR(__xludf.DUMMYFUNCTION("""COMPUTED_VALUE"""),0.5)</f>
        <v>0.5</v>
      </c>
      <c r="K3" s="4">
        <f>IFERROR(__xludf.DUMMYFUNCTION("""COMPUTED_VALUE"""),0.0)</f>
        <v>0</v>
      </c>
      <c r="L3" s="4">
        <f>IFERROR(__xludf.DUMMYFUNCTION("""COMPUTED_VALUE"""),0.0)</f>
        <v>0</v>
      </c>
      <c r="M3" s="4">
        <f>IFERROR(__xludf.DUMMYFUNCTION("""COMPUTED_VALUE"""),0.0)</f>
        <v>0</v>
      </c>
      <c r="N3" s="4">
        <f>IFERROR(__xludf.DUMMYFUNCTION("""COMPUTED_VALUE"""),0.0)</f>
        <v>0</v>
      </c>
      <c r="O3" s="4">
        <f>IFERROR(__xludf.DUMMYFUNCTION("""COMPUTED_VALUE"""),1.0)</f>
        <v>1</v>
      </c>
      <c r="P3" s="4">
        <f>IFERROR(__xludf.DUMMYFUNCTION("""COMPUTED_VALUE"""),0.0)</f>
        <v>0</v>
      </c>
      <c r="Q3" s="4">
        <f>IFERROR(__xludf.DUMMYFUNCTION("""COMPUTED_VALUE"""),0.0)</f>
        <v>0</v>
      </c>
      <c r="R3" s="4">
        <f>IFERROR(__xludf.DUMMYFUNCTION("""COMPUTED_VALUE"""),0.0)</f>
        <v>0</v>
      </c>
      <c r="S3" s="4">
        <f>IFERROR(__xludf.DUMMYFUNCTION("""COMPUTED_VALUE"""),0.0)</f>
        <v>0</v>
      </c>
      <c r="T3" s="4">
        <f>IFERROR(__xludf.DUMMYFUNCTION("""COMPUTED_VALUE"""),0.0)</f>
        <v>0</v>
      </c>
      <c r="U3" s="4">
        <f>IFERROR(__xludf.DUMMYFUNCTION("""COMPUTED_VALUE"""),0.0)</f>
        <v>0</v>
      </c>
      <c r="V3" s="4">
        <f>IFERROR(__xludf.DUMMYFUNCTION("""COMPUTED_VALUE"""),0.5)</f>
        <v>0.5</v>
      </c>
      <c r="W3" s="4">
        <f>IFERROR(__xludf.DUMMYFUNCTION("""COMPUTED_VALUE"""),0.5)</f>
        <v>0.5</v>
      </c>
      <c r="X3" s="4">
        <f>IFERROR(__xludf.DUMMYFUNCTION("""COMPUTED_VALUE"""),0.5)</f>
        <v>0.5</v>
      </c>
      <c r="Y3" s="4">
        <f>IFERROR(__xludf.DUMMYFUNCTION("""COMPUTED_VALUE"""),0.5)</f>
        <v>0.5</v>
      </c>
      <c r="Z3" s="4">
        <f>IFERROR(__xludf.DUMMYFUNCTION("""COMPUTED_VALUE"""),0.5)</f>
        <v>0.5</v>
      </c>
      <c r="AA3" s="4">
        <f>IFERROR(__xludf.DUMMYFUNCTION("""COMPUTED_VALUE"""),1.0)</f>
        <v>1</v>
      </c>
      <c r="AB3" s="4">
        <f>IFERROR(__xludf.DUMMYFUNCTION("""COMPUTED_VALUE"""),0.0)</f>
        <v>0</v>
      </c>
      <c r="AC3" s="4">
        <f>IFERROR(__xludf.DUMMYFUNCTION("""COMPUTED_VALUE"""),0.5)</f>
        <v>0.5</v>
      </c>
      <c r="AD3" s="4">
        <f>IFERROR(__xludf.DUMMYFUNCTION("""COMPUTED_VALUE"""),0.5)</f>
        <v>0.5</v>
      </c>
      <c r="AE3" s="4">
        <f>IFERROR(__xludf.DUMMYFUNCTION("""COMPUTED_VALUE"""),0.0)</f>
        <v>0</v>
      </c>
      <c r="AF3" s="4">
        <f>IFERROR(__xludf.DUMMYFUNCTION("""COMPUTED_VALUE"""),0.5)</f>
        <v>0.5</v>
      </c>
      <c r="AG3" s="4">
        <f>IFERROR(__xludf.DUMMYFUNCTION("""COMPUTED_VALUE"""),0.0)</f>
        <v>0</v>
      </c>
      <c r="AH3" s="4">
        <f>IFERROR(__xludf.DUMMYFUNCTION("""COMPUTED_VALUE"""),0.0)</f>
        <v>0</v>
      </c>
      <c r="AI3" s="4">
        <f>IFERROR(__xludf.DUMMYFUNCTION("""COMPUTED_VALUE"""),0.5)</f>
        <v>0.5</v>
      </c>
      <c r="AJ3" s="4">
        <f>IFERROR(__xludf.DUMMYFUNCTION("""COMPUTED_VALUE"""),0.5)</f>
        <v>0.5</v>
      </c>
      <c r="AK3" s="4">
        <f>IFERROR(__xludf.DUMMYFUNCTION("""COMPUTED_VALUE"""),0.0)</f>
        <v>0</v>
      </c>
      <c r="AL3" s="4">
        <f>IFERROR(__xludf.DUMMYFUNCTION("""COMPUTED_VALUE"""),0.0)</f>
        <v>0</v>
      </c>
      <c r="AM3" s="4">
        <f>IFERROR(__xludf.DUMMYFUNCTION("""COMPUTED_VALUE"""),0.0)</f>
        <v>0</v>
      </c>
      <c r="AN3" s="4">
        <f>IFERROR(__xludf.DUMMYFUNCTION("""COMPUTED_VALUE"""),0.5)</f>
        <v>0.5</v>
      </c>
      <c r="AO3" s="4">
        <f>IFERROR(__xludf.DUMMYFUNCTION("""COMPUTED_VALUE"""),0.0)</f>
        <v>0</v>
      </c>
      <c r="AP3" s="4">
        <f>IFERROR(__xludf.DUMMYFUNCTION("""COMPUTED_VALUE"""),0.0)</f>
        <v>0</v>
      </c>
      <c r="AQ3" s="4">
        <f>IFERROR(__xludf.DUMMYFUNCTION("""COMPUTED_VALUE"""),0.0)</f>
        <v>0</v>
      </c>
      <c r="AR3" s="4">
        <f>IFERROR(__xludf.DUMMYFUNCTION("""COMPUTED_VALUE"""),0.0)</f>
        <v>0</v>
      </c>
      <c r="AS3" s="4">
        <f>IFERROR(__xludf.DUMMYFUNCTION("""COMPUTED_VALUE"""),0.0)</f>
        <v>0</v>
      </c>
      <c r="AT3" s="4">
        <f>IFERROR(__xludf.DUMMYFUNCTION("""COMPUTED_VALUE"""),0.0)</f>
        <v>0</v>
      </c>
      <c r="AU3" s="4">
        <f>IFERROR(__xludf.DUMMYFUNCTION("""COMPUTED_VALUE"""),0.0)</f>
        <v>0</v>
      </c>
      <c r="AV3" s="4">
        <f>IFERROR(__xludf.DUMMYFUNCTION("""COMPUTED_VALUE"""),0.0)</f>
        <v>0</v>
      </c>
      <c r="AW3" s="4">
        <f>IFERROR(__xludf.DUMMYFUNCTION("""COMPUTED_VALUE"""),0.0)</f>
        <v>0</v>
      </c>
      <c r="AX3" s="4">
        <f>IFERROR(__xludf.DUMMYFUNCTION("""COMPUTED_VALUE"""),0.0)</f>
        <v>0</v>
      </c>
      <c r="AY3" s="4">
        <f>IFERROR(__xludf.DUMMYFUNCTION("""COMPUTED_VALUE"""),0.0)</f>
        <v>0</v>
      </c>
      <c r="AZ3" s="4">
        <f>IFERROR(__xludf.DUMMYFUNCTION("""COMPUTED_VALUE"""),0.0)</f>
        <v>0</v>
      </c>
      <c r="BA3" s="4">
        <f>IFERROR(__xludf.DUMMYFUNCTION("""COMPUTED_VALUE"""),0.0)</f>
        <v>0</v>
      </c>
      <c r="BB3" s="4">
        <f>IFERROR(__xludf.DUMMYFUNCTION("""COMPUTED_VALUE"""),0.0)</f>
        <v>0</v>
      </c>
      <c r="BC3" s="4">
        <f>IFERROR(__xludf.DUMMYFUNCTION("""COMPUTED_VALUE"""),0.0)</f>
        <v>0</v>
      </c>
      <c r="BD3" s="4">
        <f>IFERROR(__xludf.DUMMYFUNCTION("""COMPUTED_VALUE"""),0.0)</f>
        <v>0</v>
      </c>
      <c r="BE3" s="4">
        <f>IFERROR(__xludf.DUMMYFUNCTION("""COMPUTED_VALUE"""),0.0)</f>
        <v>0</v>
      </c>
      <c r="BF3" s="4">
        <f>IFERROR(__xludf.DUMMYFUNCTION("""COMPUTED_VALUE"""),0.0)</f>
        <v>0</v>
      </c>
      <c r="BG3" s="4">
        <f>IFERROR(__xludf.DUMMYFUNCTION("""COMPUTED_VALUE"""),0.0)</f>
        <v>0</v>
      </c>
      <c r="BH3" s="4">
        <f>IFERROR(__xludf.DUMMYFUNCTION("""COMPUTED_VALUE"""),0.5)</f>
        <v>0.5</v>
      </c>
      <c r="BI3" s="4">
        <f>IFERROR(__xludf.DUMMYFUNCTION("""COMPUTED_VALUE"""),0.0)</f>
        <v>0</v>
      </c>
      <c r="BJ3" s="4">
        <f>IFERROR(__xludf.DUMMYFUNCTION("""COMPUTED_VALUE"""),0.0)</f>
        <v>0</v>
      </c>
      <c r="BK3" s="4">
        <f>IFERROR(__xludf.DUMMYFUNCTION("""COMPUTED_VALUE"""),0.0)</f>
        <v>0</v>
      </c>
      <c r="BL3" s="4">
        <f>IFERROR(__xludf.DUMMYFUNCTION("""COMPUTED_VALUE"""),0.0)</f>
        <v>0</v>
      </c>
      <c r="BM3" s="4">
        <f>IFERROR(__xludf.DUMMYFUNCTION("""COMPUTED_VALUE"""),0.0)</f>
        <v>0</v>
      </c>
      <c r="BN3" s="4">
        <f>IFERROR(__xludf.DUMMYFUNCTION("""COMPUTED_VALUE"""),0.0)</f>
        <v>0</v>
      </c>
      <c r="BO3" s="4">
        <f>IFERROR(__xludf.DUMMYFUNCTION("""COMPUTED_VALUE"""),0.0)</f>
        <v>0</v>
      </c>
      <c r="BP3" s="4">
        <f>IFERROR(__xludf.DUMMYFUNCTION("""COMPUTED_VALUE"""),0.0)</f>
        <v>0</v>
      </c>
      <c r="BQ3" s="4">
        <f>IFERROR(__xludf.DUMMYFUNCTION("""COMPUTED_VALUE"""),0.0)</f>
        <v>0</v>
      </c>
      <c r="BR3" s="4">
        <f>IFERROR(__xludf.DUMMYFUNCTION("""COMPUTED_VALUE"""),0.5)</f>
        <v>0.5</v>
      </c>
      <c r="BS3" s="4">
        <f>IFERROR(__xludf.DUMMYFUNCTION("""COMPUTED_VALUE"""),0.0)</f>
        <v>0</v>
      </c>
      <c r="BT3" s="4">
        <f>IFERROR(__xludf.DUMMYFUNCTION("""COMPUTED_VALUE"""),0.0)</f>
        <v>0</v>
      </c>
      <c r="BU3" s="4">
        <f>IFERROR(__xludf.DUMMYFUNCTION("""COMPUTED_VALUE"""),0.0)</f>
        <v>0</v>
      </c>
      <c r="BV3" s="4">
        <f>IFERROR(__xludf.DUMMYFUNCTION("""COMPUTED_VALUE"""),0.0)</f>
        <v>0</v>
      </c>
      <c r="BW3" s="4">
        <f>IFERROR(__xludf.DUMMYFUNCTION("""COMPUTED_VALUE"""),0.0)</f>
        <v>0</v>
      </c>
      <c r="BX3" s="4">
        <f>IFERROR(__xludf.DUMMYFUNCTION("""COMPUTED_VALUE"""),0.0)</f>
        <v>0</v>
      </c>
      <c r="BY3" s="4">
        <f>IFERROR(__xludf.DUMMYFUNCTION("""COMPUTED_VALUE"""),0.0)</f>
        <v>0</v>
      </c>
      <c r="BZ3" s="4">
        <f>IFERROR(__xludf.DUMMYFUNCTION("""COMPUTED_VALUE"""),0.0)</f>
        <v>0</v>
      </c>
      <c r="CA3" s="4">
        <f>IFERROR(__xludf.DUMMYFUNCTION("""COMPUTED_VALUE"""),0.0)</f>
        <v>0</v>
      </c>
      <c r="CB3" s="4">
        <f>IFERROR(__xludf.DUMMYFUNCTION("""COMPUTED_VALUE"""),0.0)</f>
        <v>0</v>
      </c>
      <c r="CC3" s="4">
        <f>IFERROR(__xludf.DUMMYFUNCTION("""COMPUTED_VALUE"""),0.0)</f>
        <v>0</v>
      </c>
      <c r="CD3" s="4">
        <f>IFERROR(__xludf.DUMMYFUNCTION("""COMPUTED_VALUE"""),0.0)</f>
        <v>0</v>
      </c>
      <c r="CE3" s="4">
        <f>IFERROR(__xludf.DUMMYFUNCTION("""COMPUTED_VALUE"""),0.0)</f>
        <v>0</v>
      </c>
      <c r="CF3" s="4">
        <f>IFERROR(__xludf.DUMMYFUNCTION("""COMPUTED_VALUE"""),0.0)</f>
        <v>0</v>
      </c>
      <c r="CG3" s="4">
        <f>IFERROR(__xludf.DUMMYFUNCTION("""COMPUTED_VALUE"""),0.0)</f>
        <v>0</v>
      </c>
      <c r="CH3" s="4">
        <f>IFERROR(__xludf.DUMMYFUNCTION("""COMPUTED_VALUE"""),0.0)</f>
        <v>0</v>
      </c>
      <c r="CI3" s="4">
        <f>IFERROR(__xludf.DUMMYFUNCTION("""COMPUTED_VALUE"""),0.0)</f>
        <v>0</v>
      </c>
      <c r="CJ3" s="4">
        <f>IFERROR(__xludf.DUMMYFUNCTION("""COMPUTED_VALUE"""),0.0)</f>
        <v>0</v>
      </c>
      <c r="CK3" s="4">
        <f>IFERROR(__xludf.DUMMYFUNCTION("""COMPUTED_VALUE"""),0.0)</f>
        <v>0</v>
      </c>
      <c r="CL3" s="4">
        <f>IFERROR(__xludf.DUMMYFUNCTION("""COMPUTED_VALUE"""),0.0)</f>
        <v>0</v>
      </c>
      <c r="CM3" s="4">
        <f>IFERROR(__xludf.DUMMYFUNCTION("""COMPUTED_VALUE"""),0.0)</f>
        <v>0</v>
      </c>
      <c r="CN3" s="4">
        <f>IFERROR(__xludf.DUMMYFUNCTION("""COMPUTED_VALUE"""),0.0)</f>
        <v>0</v>
      </c>
      <c r="CO3" s="4">
        <f>IFERROR(__xludf.DUMMYFUNCTION("""COMPUTED_VALUE"""),0.0)</f>
        <v>0</v>
      </c>
      <c r="CP3" s="4">
        <f>IFERROR(__xludf.DUMMYFUNCTION("""COMPUTED_VALUE"""),0.0)</f>
        <v>0</v>
      </c>
      <c r="CQ3" s="4">
        <f>IFERROR(__xludf.DUMMYFUNCTION("""COMPUTED_VALUE"""),0.0)</f>
        <v>0</v>
      </c>
      <c r="CR3" s="4">
        <f>IFERROR(__xludf.DUMMYFUNCTION("""COMPUTED_VALUE"""),0.0)</f>
        <v>0</v>
      </c>
      <c r="CS3" s="4">
        <f>IFERROR(__xludf.DUMMYFUNCTION("""COMPUTED_VALUE"""),0.0)</f>
        <v>0</v>
      </c>
      <c r="CT3" s="4">
        <f>IFERROR(__xludf.DUMMYFUNCTION("""COMPUTED_VALUE"""),0.0)</f>
        <v>0</v>
      </c>
      <c r="CU3" s="4">
        <f>IFERROR(__xludf.DUMMYFUNCTION("""COMPUTED_VALUE"""),0.0)</f>
        <v>0</v>
      </c>
      <c r="CV3" s="4">
        <f>IFERROR(__xludf.DUMMYFUNCTION("""COMPUTED_VALUE"""),0.0)</f>
        <v>0</v>
      </c>
      <c r="CW3" s="4">
        <f>IFERROR(__xludf.DUMMYFUNCTION("""COMPUTED_VALUE"""),0.0)</f>
        <v>0</v>
      </c>
      <c r="CX3" s="4">
        <f>IFERROR(__xludf.DUMMYFUNCTION("""COMPUTED_VALUE"""),0.0)</f>
        <v>0</v>
      </c>
      <c r="CY3" s="4">
        <f>IFERROR(__xludf.DUMMYFUNCTION("""COMPUTED_VALUE"""),0.0)</f>
        <v>0</v>
      </c>
      <c r="CZ3" s="4">
        <f>IFERROR(__xludf.DUMMYFUNCTION("""COMPUTED_VALUE"""),1.0)</f>
        <v>1</v>
      </c>
      <c r="DA3" s="4">
        <f>IFERROR(__xludf.DUMMYFUNCTION("""COMPUTED_VALUE"""),0.0)</f>
        <v>0</v>
      </c>
      <c r="DB3" s="4">
        <f>IFERROR(__xludf.DUMMYFUNCTION("""COMPUTED_VALUE"""),0.0)</f>
        <v>0</v>
      </c>
      <c r="DC3" s="4">
        <f>IFERROR(__xludf.DUMMYFUNCTION("""COMPUTED_VALUE"""),0.0)</f>
        <v>0</v>
      </c>
      <c r="DD3" s="4">
        <f>IFERROR(__xludf.DUMMYFUNCTION("""COMPUTED_VALUE"""),0.0)</f>
        <v>0</v>
      </c>
      <c r="DE3" s="4">
        <f>IFERROR(__xludf.DUMMYFUNCTION("""COMPUTED_VALUE"""),0.0)</f>
        <v>0</v>
      </c>
      <c r="DF3" s="4">
        <f>IFERROR(__xludf.DUMMYFUNCTION("""COMPUTED_VALUE"""),0.0)</f>
        <v>0</v>
      </c>
      <c r="DG3" s="4">
        <f>IFERROR(__xludf.DUMMYFUNCTION("""COMPUTED_VALUE"""),0.0)</f>
        <v>0</v>
      </c>
      <c r="DH3" s="4">
        <f>IFERROR(__xludf.DUMMYFUNCTION("""COMPUTED_VALUE"""),0.0)</f>
        <v>0</v>
      </c>
      <c r="DI3" s="4">
        <f>IFERROR(__xludf.DUMMYFUNCTION("""COMPUTED_VALUE"""),0.0)</f>
        <v>0</v>
      </c>
      <c r="DJ3" s="4">
        <f>IFERROR(__xludf.DUMMYFUNCTION("""COMPUTED_VALUE"""),0.0)</f>
        <v>0</v>
      </c>
      <c r="DK3" s="4">
        <f>IFERROR(__xludf.DUMMYFUNCTION("""COMPUTED_VALUE"""),0.0)</f>
        <v>0</v>
      </c>
      <c r="DL3" s="4">
        <f>IFERROR(__xludf.DUMMYFUNCTION("""COMPUTED_VALUE"""),0.0)</f>
        <v>0</v>
      </c>
      <c r="DM3" s="4">
        <f>IFERROR(__xludf.DUMMYFUNCTION("""COMPUTED_VALUE"""),0.0)</f>
        <v>0</v>
      </c>
      <c r="DN3" s="4">
        <f>IFERROR(__xludf.DUMMYFUNCTION("""COMPUTED_VALUE"""),0.0)</f>
        <v>0</v>
      </c>
      <c r="DO3" s="4">
        <f>IFERROR(__xludf.DUMMYFUNCTION("""COMPUTED_VALUE"""),0.0)</f>
        <v>0</v>
      </c>
      <c r="DP3" s="4">
        <f>IFERROR(__xludf.DUMMYFUNCTION("""COMPUTED_VALUE"""),0.0)</f>
        <v>0</v>
      </c>
      <c r="DQ3" s="4">
        <f>IFERROR(__xludf.DUMMYFUNCTION("""COMPUTED_VALUE"""),0.0)</f>
        <v>0</v>
      </c>
      <c r="DR3" s="4">
        <f>IFERROR(__xludf.DUMMYFUNCTION("""COMPUTED_VALUE"""),0.0)</f>
        <v>0</v>
      </c>
      <c r="DS3" s="4">
        <f>IFERROR(__xludf.DUMMYFUNCTION("""COMPUTED_VALUE"""),0.5)</f>
        <v>0.5</v>
      </c>
      <c r="DT3" s="4">
        <f>IFERROR(__xludf.DUMMYFUNCTION("""COMPUTED_VALUE"""),0.0)</f>
        <v>0</v>
      </c>
      <c r="DU3" s="4">
        <f>IFERROR(__xludf.DUMMYFUNCTION("""COMPUTED_VALUE"""),0.0)</f>
        <v>0</v>
      </c>
      <c r="DV3" s="4">
        <f>IFERROR(__xludf.DUMMYFUNCTION("""COMPUTED_VALUE"""),0.0)</f>
        <v>0</v>
      </c>
      <c r="DW3" s="4">
        <f>IFERROR(__xludf.DUMMYFUNCTION("""COMPUTED_VALUE"""),0.0)</f>
        <v>0</v>
      </c>
      <c r="DX3" s="4">
        <f>IFERROR(__xludf.DUMMYFUNCTION("""COMPUTED_VALUE"""),0.0)</f>
        <v>0</v>
      </c>
      <c r="DY3" s="4">
        <f>IFERROR(__xludf.DUMMYFUNCTION("""COMPUTED_VALUE"""),0.0)</f>
        <v>0</v>
      </c>
      <c r="DZ3" s="4">
        <f>IFERROR(__xludf.DUMMYFUNCTION("""COMPUTED_VALUE"""),0.0)</f>
        <v>0</v>
      </c>
      <c r="EA3" s="4">
        <f>IFERROR(__xludf.DUMMYFUNCTION("""COMPUTED_VALUE"""),0.0)</f>
        <v>0</v>
      </c>
      <c r="EB3" s="4">
        <f>IFERROR(__xludf.DUMMYFUNCTION("""COMPUTED_VALUE"""),0.0)</f>
        <v>0</v>
      </c>
      <c r="EC3" s="4">
        <f>IFERROR(__xludf.DUMMYFUNCTION("""COMPUTED_VALUE"""),0.5)</f>
        <v>0.5</v>
      </c>
      <c r="ED3" s="4">
        <f>IFERROR(__xludf.DUMMYFUNCTION("""COMPUTED_VALUE"""),0.0)</f>
        <v>0</v>
      </c>
      <c r="EE3" s="4">
        <f>IFERROR(__xludf.DUMMYFUNCTION("""COMPUTED_VALUE"""),0.0)</f>
        <v>0</v>
      </c>
      <c r="EF3" s="4">
        <f>IFERROR(__xludf.DUMMYFUNCTION("""COMPUTED_VALUE"""),0.0)</f>
        <v>0</v>
      </c>
      <c r="EG3" s="4">
        <f>IFERROR(__xludf.DUMMYFUNCTION("""COMPUTED_VALUE"""),0.0)</f>
        <v>0</v>
      </c>
      <c r="EH3" s="4">
        <f>IFERROR(__xludf.DUMMYFUNCTION("""COMPUTED_VALUE"""),0.5)</f>
        <v>0.5</v>
      </c>
      <c r="EI3" s="4">
        <f>IFERROR(__xludf.DUMMYFUNCTION("""COMPUTED_VALUE"""),0.0)</f>
        <v>0</v>
      </c>
      <c r="EJ3" s="4">
        <f>IFERROR(__xludf.DUMMYFUNCTION("""COMPUTED_VALUE"""),0.0)</f>
        <v>0</v>
      </c>
      <c r="EK3" s="4">
        <f>IFERROR(__xludf.DUMMYFUNCTION("""COMPUTED_VALUE"""),0.0)</f>
        <v>0</v>
      </c>
      <c r="EL3" s="4">
        <f>IFERROR(__xludf.DUMMYFUNCTION("""COMPUTED_VALUE"""),0.0)</f>
        <v>0</v>
      </c>
      <c r="EM3" s="4">
        <f>IFERROR(__xludf.DUMMYFUNCTION("""COMPUTED_VALUE"""),0.0)</f>
        <v>0</v>
      </c>
      <c r="EN3" s="4">
        <f>IFERROR(__xludf.DUMMYFUNCTION("""COMPUTED_VALUE"""),0.0)</f>
        <v>0</v>
      </c>
      <c r="EO3" s="4">
        <f>IFERROR(__xludf.DUMMYFUNCTION("""COMPUTED_VALUE"""),0.0)</f>
        <v>0</v>
      </c>
      <c r="EP3" s="4">
        <f>IFERROR(__xludf.DUMMYFUNCTION("""COMPUTED_VALUE"""),0.0)</f>
        <v>0</v>
      </c>
      <c r="EQ3" s="4">
        <f>IFERROR(__xludf.DUMMYFUNCTION("""COMPUTED_VALUE"""),0.0)</f>
        <v>0</v>
      </c>
      <c r="ER3" s="4">
        <f>IFERROR(__xludf.DUMMYFUNCTION("""COMPUTED_VALUE"""),0.0)</f>
        <v>0</v>
      </c>
      <c r="ES3" s="4">
        <f>IFERROR(__xludf.DUMMYFUNCTION("""COMPUTED_VALUE"""),0.0)</f>
        <v>0</v>
      </c>
      <c r="ET3" s="4">
        <f>IFERROR(__xludf.DUMMYFUNCTION("""COMPUTED_VALUE"""),0.0)</f>
        <v>0</v>
      </c>
    </row>
    <row r="100">
      <c r="F100" s="4" t="str">
        <f>IFERROR(__xludf.DUMMYFUNCTION("MMULT(
  FILTER(
    FILTER(
      IF(AlunosAcertos!C2:ZZZ1000="""","""",IF(AlunosAcertos!C2:ZZZ1000=2,1,0)),
      AlunosAcertos!C2:ZZZ2&lt;&gt;""""
    ),
    AlunosAcertos!A2:A1000&lt;&gt;""""
  ),
  FILTER(
    FILTER('Página1'!C2:ZZZ1000,'Página1'!B2:B1000&lt;&gt;"""""&amp;"),
    'Página1'!C2:ZZZ2&lt;&gt;""""
  )
)"),"#VALUE!")</f>
        <v>#VALUE!</v>
      </c>
    </row>
    <row r="101">
      <c r="C101" s="4" t="str">
        <f>IFERROR(__xludf.DUMMYFUNCTION("MMULT(IF(FILTER(FILTER(AlunosAcertos!C2:ZZZ1000,AlunosAcertos!C2:ZZZ2&lt;&gt;""""),AlunosAcertos!A2:A1000&lt;&gt;"""") =2,1,0),FILTER(FILTER('Página1'!C2:ZZZ1000,'Página1'!B2:B1000&lt;&gt;"""" ),'Página1'!C2:ZZZ2&lt;&gt;"""" ))"),"#VALUE!")</f>
        <v>#VALUE!</v>
      </c>
    </row>
    <row r="103">
      <c r="F103" s="4" t="str">
        <f>IFERROR(__xludf.DUMMYFUNCTION("MMULT(
  FILTER(
    FILTER(
      IF(AlunosAcertos!C2:ZZZ1000="""","""",IF(AlunosAcertos!C2:ZZZ1000&gt;0,1,0)),
      AlunosAcertos!C2:ZZZ2&lt;&gt;""""
    ),
    AlunosAcertos!A2:A1000&lt;&gt;""""
  ),
  FILTER(
    FILTER('Página1'!C2:ZZZ1000,'Página1'!B2:B1000&lt;&gt;"""""&amp;"),
    'Página1'!C2:ZZZ2&lt;&gt;""""
  )
)"),"#VALUE!")</f>
        <v>#VALUE!</v>
      </c>
    </row>
    <row r="109">
      <c r="C109" s="4">
        <f>IFERROR(__xludf.DUMMYFUNCTION("IF(FILTER(FILTER(AlunosAcertos!C2:ZZZ1000,AlunosAcertos!C2:ZZZ2&lt;&gt;""""),AlunosAcertos!A2:A1000&lt;&gt;"""") =2,1,0)"),1.0)</f>
        <v>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IFERROR(__xludf.DUMMYFUNCTION("({
  FILTER(AlunosAcertos!A:B, AlunosAcertos!A:A &lt;&gt; """")
})"),"Aluno")</f>
        <v>Aluno</v>
      </c>
      <c r="B1" s="4" t="str">
        <f>IFERROR(__xludf.DUMMYFUNCTION("""COMPUTED_VALUE"""),"Turma")</f>
        <v>Turma</v>
      </c>
      <c r="C1" s="1" t="s">
        <v>316</v>
      </c>
    </row>
    <row r="2">
      <c r="A2" s="4" t="str">
        <f>IFERROR(__xludf.DUMMYFUNCTION("""COMPUTED_VALUE"""),"AB")</f>
        <v>AB</v>
      </c>
      <c r="B2" s="4" t="str">
        <f>IFERROR(__xludf.DUMMYFUNCTION("""COMPUTED_VALUE"""),"A")</f>
        <v>A</v>
      </c>
      <c r="C2" s="4">
        <f>COUNTIF(AlunosAcertos!C2:Z2,1)*5 + COUNTIF(AlunosAcertos!C2:Z2,2)*10</f>
        <v>55</v>
      </c>
    </row>
    <row r="3">
      <c r="A3" s="4" t="str">
        <f>IFERROR(__xludf.DUMMYFUNCTION("""COMPUTED_VALUE"""),"AC")</f>
        <v>AC</v>
      </c>
      <c r="B3" s="4" t="str">
        <f>IFERROR(__xludf.DUMMYFUNCTION("""COMPUTED_VALUE"""),"B")</f>
        <v>B</v>
      </c>
      <c r="C3" s="4">
        <f>COUNTIFS(AlunosAcertos!C3:Z3,1)*5  + COUNTIF(AlunosAcertos!C3:Z3,2)*10</f>
        <v>50</v>
      </c>
    </row>
  </sheetData>
  <drawing r:id="rId4"/>
  <legacyDrawing r:id="rId5"/>
</worksheet>
</file>